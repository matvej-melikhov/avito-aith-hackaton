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ритерии | Шаблон оценки для ре" sheetId="1" r:id="rId5"/>
  </sheets>
  <definedNames/>
  <calcPr/>
</workbook>
</file>

<file path=xl/sharedStrings.xml><?xml version="1.0" encoding="utf-8"?>
<sst xmlns="http://schemas.openxmlformats.org/spreadsheetml/2006/main" count="288" uniqueCount="137">
  <si>
    <r>
      <rPr>
        <rFont val="Arial"/>
        <b/>
        <color rgb="FF1155CC"/>
        <sz val="16.0"/>
      </rPr>
      <t>Как пользоваться табличкой</t>
    </r>
    <r>
      <rPr>
        <rFont val="Arial"/>
        <color theme="1"/>
        <sz val="14.0"/>
      </rPr>
      <t xml:space="preserve">
Этот шаблон скопируем для всех ревьюеров, для каждого с его студентами.
Ревьюеры должны заполнить только столбцы 1 ревью и 2 ревью.
Итоговый балл посчитается автоматически.</t>
    </r>
  </si>
  <si>
    <t>ФИО студента</t>
  </si>
  <si>
    <t>Ссылка на решение</t>
  </si>
  <si>
    <t>№ дз</t>
  </si>
  <si>
    <t>группа проверок</t>
  </si>
  <si>
    <t>макс балл (если всё правильно с 1 раза)</t>
  </si>
  <si>
    <t>проверка</t>
  </si>
  <si>
    <t>как проверяем</t>
  </si>
  <si>
    <t>критичные ошибки</t>
  </si>
  <si>
    <t>Ревью 1</t>
  </si>
  <si>
    <t>Комментарии</t>
  </si>
  <si>
    <t>Ревью 2</t>
  </si>
  <si>
    <t>Ревью после Q&amp;A</t>
  </si>
  <si>
    <t>Сумма за домашку</t>
  </si>
  <si>
    <t>Структура проекта</t>
  </si>
  <si>
    <t>Есть cmd/, internal/, pkg/ (или осознанная альтернатива)</t>
  </si>
  <si>
    <t>hw1/project_structure_test.go или вручную</t>
  </si>
  <si>
    <t>критикал</t>
  </si>
  <si>
    <t>Есть файл go.mod</t>
  </si>
  <si>
    <t>hw1/project_structure_test.go</t>
  </si>
  <si>
    <t>Точка входа находится в cmd/&lt;service&gt;/main.go / &lt;service&gt; опционален</t>
  </si>
  <si>
    <t>вручную</t>
  </si>
  <si>
    <t>Хорошее качество кода (понятные названия идентификаторов, отсутствие циклических зависимостей)</t>
  </si>
  <si>
    <t>не критикал</t>
  </si>
  <si>
    <t>Веб сервер</t>
  </si>
  <si>
    <t>HTTP-сервер запускается (stdlib/chi/gin/echo — не важно)</t>
  </si>
  <si>
    <t>hw1/run_server_test.go</t>
  </si>
  <si>
    <t>Порт берётся из конфигурации Env</t>
  </si>
  <si>
    <t>hw1/port_env_test.go TestRunServerWithEnvPort</t>
  </si>
  <si>
    <t>Лог старта уходит в stdout</t>
  </si>
  <si>
    <t>hw1/start_log_test.go</t>
  </si>
  <si>
    <t>GET /ping отдает все нужные коды согласно ТЗ</t>
  </si>
  <si>
    <t>hw1/ping_test.go</t>
  </si>
  <si>
    <t>HEAD /heathcheck отдает все нужные коды согласно ТЗ</t>
  </si>
  <si>
    <t>Грейсфул шатдаун</t>
  </si>
  <si>
    <t>После сигналов SIGINT/SIGTERM сервер останавливается</t>
  </si>
  <si>
    <t>hw1/graceful_shutdown_test.go</t>
  </si>
  <si>
    <t>graceful shutdown реализован через context</t>
  </si>
  <si>
    <r>
      <rPr>
        <rFont val="Arial"/>
        <color theme="1"/>
      </rPr>
      <t>При остановке в</t>
    </r>
    <r>
      <rPr>
        <rFont val="Arial"/>
        <color rgb="FFFF0000"/>
      </rPr>
      <t xml:space="preserve"> </t>
    </r>
    <r>
      <rPr>
        <rFont val="Arial"/>
        <color theme="1"/>
      </rPr>
      <t>лог выводится сообщение</t>
    </r>
  </si>
  <si>
    <t>Переопределение
флагами</t>
  </si>
  <si>
    <t>Есть переопределение порта с помощью флагов</t>
  </si>
  <si>
    <t>hw1/port_env_test.go TestRunServerWithFlagPort</t>
  </si>
  <si>
    <t xml:space="preserve">При указании и флага и .env берётся значение из флага </t>
  </si>
  <si>
    <t>hw1/port_env_test.go TestRunServerWithEnvAndFlag</t>
  </si>
  <si>
    <t>ИТОГО</t>
  </si>
  <si>
    <t>Подключение к
 базе данных</t>
  </si>
  <si>
    <t>Подключение к базе находится в main.go или сделано через отдельный файл, данные для покдлючения берутся из env</t>
  </si>
  <si>
    <t>Есть закрытие соединения в defer Close()</t>
  </si>
  <si>
    <t>Есть запрос Ping для проверки соединения</t>
  </si>
  <si>
    <t>Есть ретрай при запросе ping</t>
  </si>
  <si>
    <t>В случае ошибки кидается паника</t>
  </si>
  <si>
    <t>Миграция</t>
  </si>
  <si>
    <t>Есть миграции с помощью популярного пакета</t>
  </si>
  <si>
    <t>команда запуска (Makefile/скрипт), главное чтобы миграция не накатывалась прямо в main.go</t>
  </si>
  <si>
    <t>Запуск на чистой базе проходит</t>
  </si>
  <si>
    <t>Миграция не падает если запустить повторно</t>
  </si>
  <si>
    <t>Crud API</t>
  </si>
  <si>
    <t xml:space="preserve">Оба GET запроса реализованы согласно тз. Отдают и принимают данные в нужном формате, отдают верные статусы </t>
  </si>
  <si>
    <t>hw2/courier_crud_test.go</t>
  </si>
  <si>
    <t xml:space="preserve">POST запрос реализован согласно тз. Отдают и принимают данные в нужном формате, отдают верные статусы </t>
  </si>
  <si>
    <t xml:space="preserve">PUT запрос реализован согласно тз. Отдают и принимают данные в нужном формате, отдают верные статусы </t>
  </si>
  <si>
    <t>Код обработчиков вынесен в internal. Допустимо на этом этапе что нет ЧА</t>
  </si>
  <si>
    <t>Чистота SQL 
запросов</t>
  </si>
  <si>
    <t>В коде нет sql иньекций, в миграциях нет функций на бд</t>
  </si>
  <si>
    <t>Используется пакет pgx</t>
  </si>
  <si>
    <t>Чистая архитектура
 (Или любая другая)</t>
  </si>
  <si>
    <t>Выделены основные слои для инфраструктуры, домена, базы. (Пример internal/handler, internal/service, internal/repository, internal/model)</t>
  </si>
  <si>
    <t>Все зависимости внедряются через конструкторы</t>
  </si>
  <si>
    <t>Конструкторы на вход ждут интерфейсы, возвращаются структуры или указатели на них</t>
  </si>
  <si>
    <t>Интерфейсы расположены в месте использования а не реализации</t>
  </si>
  <si>
    <t>Интерфейсы приватные</t>
  </si>
  <si>
    <t>Нет утечек между слоями. (пример, нет json/db тегов в моделях бд)</t>
  </si>
  <si>
    <t>Нет ошибок sql в usecase/service</t>
  </si>
  <si>
    <t>Нет логики в handlers</t>
  </si>
  <si>
    <t>Тонкие модели и handlers</t>
  </si>
  <si>
    <t xml:space="preserve">Каждый слой (handlers, repo, кроме models) внутри содержит еще пакеты, для того чтобы не было что все лежит в одном пространстве </t>
  </si>
  <si>
    <t>Используется пакет для DI</t>
  </si>
  <si>
    <t>Для DI используется дополнительный пакет (например dig), при этом код разделен согласно чистой архитектуре и пакет не вносит хаоса</t>
  </si>
  <si>
    <t>Добавление функционала назначения/снятия</t>
  </si>
  <si>
    <t>Добавлены новые миграции (2 штуки) - добавление новой таблицы и добавление колонки курьерам</t>
  </si>
  <si>
    <t>Проверить что логика снятия/назначения соответствует слоистой архитектуре (нет бизнес логики в хендлерах, ссылок на сущности базы в BE слое и т.д.)</t>
  </si>
  <si>
    <t>Реализованы новые ручки assign/unassign</t>
  </si>
  <si>
    <t>hw4/assign_courier_handler_test.go</t>
  </si>
  <si>
    <t>Для получения времени доставки и расчета дедлайна используется паттерн фабрика</t>
  </si>
  <si>
    <t>Назначение и снятие курьера вынесено в usecase/service</t>
  </si>
  <si>
    <t>Функционал снятия курьера через горутину</t>
  </si>
  <si>
    <t>Горутина стартует при запуске сервиса, есть gs для этой горутины, нет утечек горутин</t>
  </si>
  <si>
    <t>Цикл сделан с помощью time.Ticker(10), есть defer ticker.Stop()</t>
  </si>
  <si>
    <t>время обновления настраивается из конфига ENV</t>
  </si>
  <si>
    <t>реализована логика освобождения курьера. все курьеры обновляются одним запросом, нет запросов в цикле по каждому курьеру</t>
  </si>
  <si>
    <t>hw5/unassign_curier_after_deadline_test</t>
  </si>
  <si>
    <t>код разложен по чистой архитектуре (код вынесен в usecase а goroutine в main)</t>
  </si>
  <si>
    <t>Дополнительный функционал</t>
  </si>
  <si>
    <t>При назначении используется учитывается статус курьера</t>
  </si>
  <si>
    <t xml:space="preserve">Берутся курьеры с наименьшим количеством заказов. Получение курьера сделано через запрос бд. Нет такого что вычитываются все заказы и в коде считается у кого меньше </t>
  </si>
  <si>
    <t>вручную + hw5/assign_courier_with_less_orders_then_others_test</t>
  </si>
  <si>
    <t>Покрытие тестами</t>
  </si>
  <si>
    <t>Написаны unit-тесты</t>
  </si>
  <si>
    <t>Тестовое покрытие больше &gt; 30%</t>
  </si>
  <si>
    <t>Используются пакеты для мок</t>
  </si>
  <si>
    <t>Тесты читаемы</t>
  </si>
  <si>
    <t>Есть тесты к handlers с httptest</t>
  </si>
  <si>
    <t>Есть 1 и больше интеграционных тестов</t>
  </si>
  <si>
    <t>Тестовое покрытие болье 80%</t>
  </si>
  <si>
    <t>Создан новый слой gateway, инкапсулирующий обращение к сервису закзов (В Gateway не дожны храниться сами данные а только получение)</t>
  </si>
  <si>
    <t>Есть воркер с тикером который используют gateway (работоспособность не проверяем)</t>
  </si>
  <si>
    <t>gc внутри воркера (проверка на контекст например)</t>
  </si>
  <si>
    <t>закрытие тикера в воркере</t>
  </si>
  <si>
    <t>Реализован consume события</t>
  </si>
  <si>
    <t>Есть грейсфул шатдаун консьюминга</t>
  </si>
  <si>
    <t xml:space="preserve"> Для назначение курьера и снятия используются уже готовый функционал (переиспользует его)</t>
  </si>
  <si>
    <t>Обработка статуса completed согласно ТЗ (история в таблице  delivery должна оставаться) Освободить курьера, но не удалять из таблицы delivery</t>
  </si>
  <si>
    <t xml:space="preserve"> Все настройки для kafka берутся из конфига</t>
  </si>
  <si>
    <t>Нет логики в консьюме, соблюдается чистая архитектура: реализация хендлера для обработки сообщений находится не в main, а в отедльном пакете</t>
  </si>
  <si>
    <t>после получения события есть запрос в сервис заказов за уточнением статуса</t>
  </si>
  <si>
    <t>если используется grpc (это дополнительные ба)</t>
  </si>
  <si>
    <t>docker-compose содержит в себе развертку сервисов Prometheus, Grafana</t>
  </si>
  <si>
    <t>Написан middleware, который собирает метрики с каждого запроса, лейблы: статус код, метод, URL)</t>
  </si>
  <si>
    <t>app + grafana + prometheus работают корректно, метрики видно на борде (или при создании борды)</t>
  </si>
  <si>
    <t>Везде используется логгер, вызовов fmt.Print нет (исключение - мейн с log.Fatalf)</t>
  </si>
  <si>
    <t xml:space="preserve">Не подменяется дефолтный логгер, логгер передается зависимостью </t>
  </si>
  <si>
    <t>Логгер спрятан за интерфейсом, есть адаптер</t>
  </si>
  <si>
    <t>Метрики расположены по чистой архитектуре - хранятся в отдельной папке, передаются в middleware)</t>
  </si>
  <si>
    <t>Есть самописный rate limiter</t>
  </si>
  <si>
    <t>Используется сторонний rate limiter</t>
  </si>
  <si>
    <t>Rate limiter используется в middleware</t>
  </si>
  <si>
    <t>Есть обработка 429 ответа от сервиса service-order в gateway</t>
  </si>
  <si>
    <t>Добавлены новые метрики на rate-limiter в gateaway</t>
  </si>
  <si>
    <t>Добавлен конфиг для линтера с популярными линтерами (ну хотя бы не пустой с одним)</t>
  </si>
  <si>
    <t>Добавлена команда для запуска (например Makefile)</t>
  </si>
  <si>
    <t>Код поправлен под линтер, линтер запускается без ошибок, Нет nolint</t>
  </si>
  <si>
    <t>можно проверить в github actions или руками</t>
  </si>
  <si>
    <t>Добавлен action для github, Action запускается, проходит проверку линтера и тестов</t>
  </si>
  <si>
    <t>Добавлен pprof</t>
  </si>
  <si>
    <t xml:space="preserve">Есть индексы на все нужные поля </t>
  </si>
  <si>
    <t>тут надо посмотреть какие запросы в репозиториях и сравнить с индексами какие есть</t>
  </si>
  <si>
    <t>СУММА БАЛЛОВ ЗА ВСЕ ДЗ</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</si>
</sst>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sz val="12.0"/>
      <color rgb="FF001D35"/>
      <name val="&quot;Google Sans&quot;"/>
    </font>
    <font>
      <color theme="1"/>
      <name val="Arial"/>
      <scheme val="minor"/>
    </font>
    <font>
      <b/>
      <sz val="12.0"/>
      <color rgb="FF001D35"/>
      <name val="&quot;Google Sans&quot;"/>
    </font>
    <font>
      <b/>
      <color theme="1"/>
      <name val="Arial"/>
      <scheme val="minor"/>
    </font>
    <font>
      <b/>
      <i/>
      <color theme="1"/>
      <name val="Arial"/>
      <scheme val="minor"/>
    </font>
    <font/>
    <font>
      <b/>
      <color theme="1"/>
      <name val="Arial"/>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43">
    <border/>
    <border>
      <top style="thin">
        <color rgb="FF000000"/>
      </top>
      <bottom style="thin">
        <color rgb="FF000000"/>
      </bottom>
    </border>
    <border>
      <right style="medium">
        <color rgb="FF0B5394"/>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double">
        <color rgb="FF000000"/>
      </right>
      <top style="thin">
        <color rgb="FF000000"/>
      </top>
    </border>
    <border>
      <left style="double">
        <color rgb="FF000000"/>
      </left>
      <top style="double">
        <color rgb="FF000000"/>
      </top>
    </border>
    <border>
      <left style="thin">
        <color rgb="FF000000"/>
      </left>
      <right style="thin">
        <color rgb="FF000000"/>
      </right>
      <top style="double">
        <color rgb="FF000000"/>
      </top>
    </border>
    <border>
      <left style="thin">
        <color rgb="FF000000"/>
      </left>
      <right style="thin">
        <color rgb="FF000000"/>
      </right>
      <top style="double">
        <color rgb="FF000000"/>
      </top>
      <bottom style="thin">
        <color rgb="FFB7B7B7"/>
      </bottom>
    </border>
    <border>
      <right style="double">
        <color rgb="FF000000"/>
      </right>
      <top style="double">
        <color rgb="FF000000"/>
      </top>
    </border>
    <border>
      <left style="double">
        <color rgb="FF000000"/>
      </left>
    </border>
    <border>
      <left style="thin">
        <color rgb="FF000000"/>
      </left>
      <right style="thin">
        <color rgb="FF000000"/>
      </right>
    </border>
    <border>
      <left style="thin">
        <color rgb="FF000000"/>
      </left>
      <right style="thin">
        <color rgb="FF000000"/>
      </right>
      <top style="thin">
        <color rgb="FFB7B7B7"/>
      </top>
      <bottom style="thin">
        <color rgb="FFB7B7B7"/>
      </bottom>
    </border>
    <border>
      <right style="double">
        <color rgb="FF000000"/>
      </right>
    </border>
    <border>
      <left style="thin">
        <color rgb="FF000000"/>
      </left>
      <right style="thin">
        <color rgb="FF000000"/>
      </right>
      <bottom style="thin">
        <color rgb="FF000000"/>
      </bottom>
    </border>
    <border>
      <left style="thin">
        <color rgb="FF000000"/>
      </left>
      <right style="thin">
        <color rgb="FF000000"/>
      </right>
      <top style="thin">
        <color rgb="FFB7B7B7"/>
      </top>
    </border>
    <border>
      <left style="thin">
        <color rgb="FF000000"/>
      </left>
      <right style="thin">
        <color rgb="FF000000"/>
      </right>
      <top style="thin">
        <color rgb="FF000000"/>
      </top>
      <bottom style="thin">
        <color rgb="FFB7B7B7"/>
      </bottom>
    </border>
    <border>
      <left style="thin">
        <color rgb="FF000000"/>
      </left>
      <right style="thin">
        <color rgb="FF000000"/>
      </right>
      <top style="thin">
        <color rgb="FFB7B7B7"/>
      </top>
      <bottom style="thin">
        <color rgb="FF000000"/>
      </bottom>
    </border>
    <border>
      <right style="double">
        <color rgb="FF000000"/>
      </right>
      <bottom style="thin">
        <color rgb="FF000000"/>
      </bottom>
    </border>
    <border>
      <left style="double">
        <color rgb="FF000000"/>
      </left>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double">
        <color rgb="FF000000"/>
      </left>
      <right style="thin">
        <color rgb="FF000000"/>
      </right>
      <top style="double">
        <color rgb="FF000000"/>
      </top>
    </border>
    <border>
      <left style="thin">
        <color rgb="FF000000"/>
      </left>
      <right style="thin">
        <color rgb="FF000000"/>
      </right>
      <bottom style="thin">
        <color rgb="FFB7B7B7"/>
      </bottom>
    </border>
    <border>
      <left style="thin">
        <color rgb="FF000000"/>
      </left>
      <right style="double">
        <color rgb="FF000000"/>
      </right>
    </border>
    <border>
      <left style="double">
        <color rgb="FF000000"/>
      </left>
      <right style="thin">
        <color rgb="FF000000"/>
      </right>
    </border>
    <border>
      <left style="double">
        <color rgb="FF000000"/>
      </left>
      <right style="thin">
        <color rgb="FF000000"/>
      </right>
      <bottom style="double">
        <color rgb="FF000000"/>
      </bottom>
    </border>
    <border>
      <right style="double">
        <color rgb="FF000000"/>
      </right>
      <top style="thin">
        <color rgb="FF000000"/>
      </top>
      <bottom style="double">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double">
        <color rgb="FF000000"/>
      </bottom>
    </border>
    <border>
      <left style="thin">
        <color rgb="FF000000"/>
      </left>
      <top style="double">
        <color rgb="FF000000"/>
      </top>
    </border>
    <border>
      <left style="thin">
        <color rgb="FF000000"/>
      </left>
      <right style="double">
        <color rgb="FF000000"/>
      </right>
      <top style="double">
        <color rgb="FF000000"/>
      </top>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ill="1" applyFont="1">
      <alignment horizontal="left" readingOrder="0" shrinkToFit="0"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shrinkToFit="0" wrapText="1"/>
    </xf>
    <xf borderId="0" fillId="2" fontId="3" numFmtId="0" xfId="0" applyAlignment="1" applyFill="1" applyFont="1">
      <alignment readingOrder="0" shrinkToFit="0" wrapText="1"/>
    </xf>
    <xf borderId="0" fillId="2" fontId="3" numFmtId="0" xfId="0" applyAlignment="1" applyFill="1" applyFont="1">
      <alignment horizontal="left" readingOrder="0" shrinkToFit="0" wrapText="1"/>
    </xf>
    <xf borderId="0" fillId="0" fontId="4" numFmtId="0" xfId="0" applyAlignment="1" applyFont="1">
      <alignment readingOrder="0" shrinkToFit="0" wrapText="1"/>
    </xf>
    <xf borderId="1" fillId="0" fontId="5" numFmtId="0" xfId="0" applyAlignment="1" applyBorder="1" applyFont="1">
      <alignment horizontal="center" readingOrder="0" shrinkToFit="0" wrapText="1"/>
    </xf>
    <xf borderId="1" fillId="0" fontId="6" numFmtId="0" xfId="0" applyBorder="1" applyFont="1"/>
    <xf borderId="2" fillId="0" fontId="6" numFmtId="0" xfId="0" applyBorder="1" applyFont="1"/>
    <xf borderId="0" fillId="0" fontId="4" numFmtId="0" xfId="0" applyAlignment="1" applyFont="1">
      <alignment shrinkToFit="0" wrapText="1"/>
    </xf>
    <xf borderId="0" fillId="0" fontId="4" numFmtId="0" xfId="0" applyAlignment="1" applyFont="1">
      <alignment horizontal="left" readingOrder="0" shrinkToFit="0" wrapText="1"/>
    </xf>
    <xf borderId="3" fillId="0" fontId="5" numFmtId="0" xfId="0" applyAlignment="1" applyBorder="1" applyFont="1">
      <alignment horizontal="center" readingOrder="0" shrinkToFit="0" wrapText="1"/>
    </xf>
    <xf borderId="3" fillId="0" fontId="6" numFmtId="0" xfId="0" applyBorder="1" applyFont="1"/>
    <xf borderId="4" fillId="2" fontId="3" numFmtId="0" xfId="0" applyAlignment="1" applyBorder="1" applyFill="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3" fontId="4" numFmtId="0" xfId="0" applyAlignment="1" applyBorder="1" applyFill="1" applyFont="1">
      <alignment readingOrder="0" shrinkToFit="0" vertical="center" wrapText="1"/>
    </xf>
    <xf borderId="5" fillId="3" fontId="4" numFmtId="0" xfId="0" applyAlignment="1" applyBorder="1" applyFill="1" applyFont="1">
      <alignment readingOrder="0" shrinkToFit="0" vertical="center" wrapText="1"/>
    </xf>
    <xf borderId="4" fillId="3" fontId="7" numFmtId="0" xfId="0" applyAlignment="1" applyBorder="1" applyFill="1" applyFont="1">
      <alignment shrinkToFit="0" vertical="center" wrapText="1"/>
    </xf>
    <xf borderId="5" fillId="3" fontId="7" numFmtId="0" xfId="0" applyAlignment="1" applyBorder="1" applyFill="1" applyFont="1">
      <alignment readingOrder="0" shrinkToFit="0" vertical="center" wrapText="1"/>
    </xf>
    <xf borderId="6" fillId="4" fontId="4" numFmtId="0" xfId="0" applyAlignment="1" applyBorder="1" applyFill="1" applyFont="1">
      <alignment readingOrder="0" shrinkToFit="0" wrapText="1"/>
    </xf>
    <xf borderId="7" fillId="0" fontId="2" numFmtId="0" xfId="0" applyAlignment="1" applyBorder="1" applyFont="1">
      <alignment horizontal="center" readingOrder="0" shrinkToFit="0" vertical="center" wrapText="1"/>
    </xf>
    <xf borderId="8" fillId="0" fontId="2" numFmtId="0" xfId="0" applyAlignment="1" applyBorder="1" applyFont="1">
      <alignment horizontal="left"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readingOrder="0" shrinkToFit="0" wrapText="1"/>
    </xf>
    <xf borderId="9" fillId="3" fontId="2" numFmtId="0" xfId="0" applyAlignment="1" applyBorder="1" applyFill="1" applyFont="1">
      <alignment readingOrder="0" shrinkToFit="0" vertical="center" wrapText="1"/>
    </xf>
    <xf borderId="8" fillId="3" fontId="2" numFmtId="0" xfId="0" applyAlignment="1" applyBorder="1" applyFill="1" applyFont="1">
      <alignment horizontal="center" shrinkToFit="0" vertical="center" wrapText="1"/>
    </xf>
    <xf borderId="10" fillId="4" fontId="2"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13" fillId="0" fontId="2" numFmtId="0" xfId="0" applyAlignment="1" applyBorder="1" applyFont="1">
      <alignment readingOrder="0" shrinkToFit="0" wrapText="1"/>
    </xf>
    <xf borderId="13" fillId="3" fontId="2" numFmtId="0" xfId="0" applyAlignment="1" applyBorder="1" applyFill="1" applyFont="1">
      <alignment readingOrder="0" shrinkToFit="0" vertical="center" wrapText="1"/>
    </xf>
    <xf borderId="14" fillId="0" fontId="6" numFmtId="0" xfId="0" applyBorder="1" applyFont="1"/>
    <xf borderId="15" fillId="0" fontId="6" numFmtId="0" xfId="0" applyBorder="1" applyFont="1"/>
    <xf borderId="16" fillId="0" fontId="2" numFmtId="0" xfId="0" applyAlignment="1" applyBorder="1" applyFont="1">
      <alignment readingOrder="0" shrinkToFit="0" wrapText="1"/>
    </xf>
    <xf borderId="16" fillId="3" fontId="2" numFmtId="0" xfId="0" applyAlignment="1" applyBorder="1" applyFill="1" applyFont="1">
      <alignment readingOrder="0" shrinkToFit="0" vertical="center" wrapText="1"/>
    </xf>
    <xf borderId="4" fillId="0" fontId="2" numFmtId="0" xfId="0" applyAlignment="1" applyBorder="1" applyFont="1">
      <alignment horizontal="left" readingOrder="0" shrinkToFit="0" vertical="center" wrapText="1"/>
    </xf>
    <xf borderId="4" fillId="0" fontId="2" numFmtId="0" xfId="0" applyAlignment="1" applyBorder="1" applyFont="1">
      <alignment horizontal="center" readingOrder="0" shrinkToFit="0" vertical="center" wrapText="1"/>
    </xf>
    <xf borderId="17" fillId="0" fontId="2" numFmtId="0" xfId="0" applyAlignment="1" applyBorder="1" applyFont="1">
      <alignment readingOrder="0" shrinkToFit="0" wrapText="1"/>
    </xf>
    <xf borderId="17" fillId="3" fontId="2" numFmtId="0" xfId="0" applyAlignment="1" applyBorder="1" applyFill="1" applyFont="1">
      <alignment readingOrder="0" shrinkToFit="0" vertical="center" wrapText="1"/>
    </xf>
    <xf borderId="4" fillId="3" fontId="2" numFmtId="0" xfId="0" applyAlignment="1" applyBorder="1" applyFill="1" applyFont="1">
      <alignment horizontal="center" shrinkToFit="0" vertical="center" wrapText="1"/>
    </xf>
    <xf borderId="18" fillId="0" fontId="2" numFmtId="0" xfId="0" applyAlignment="1" applyBorder="1" applyFont="1">
      <alignment readingOrder="0" shrinkToFit="0" wrapText="1"/>
    </xf>
    <xf borderId="18" fillId="3" fontId="2" numFmtId="0" xfId="0" applyAlignment="1" applyBorder="1" applyFill="1" applyFont="1">
      <alignment readingOrder="0" shrinkToFit="0" vertical="center" wrapText="1"/>
    </xf>
    <xf borderId="19" fillId="0" fontId="6" numFmtId="0" xfId="0" applyBorder="1" applyFont="1"/>
    <xf borderId="20" fillId="0" fontId="6" numFmtId="0" xfId="0" applyBorder="1" applyFont="1"/>
    <xf borderId="21" fillId="0" fontId="4" numFmtId="0" xfId="0" applyAlignment="1" applyBorder="1" applyFont="1">
      <alignment horizontal="left" readingOrder="0" shrinkToFit="0" vertical="center" wrapText="1"/>
    </xf>
    <xf borderId="21" fillId="0" fontId="4" numFmtId="0" xfId="0" applyAlignment="1" applyBorder="1" applyFont="1">
      <alignment horizontal="center" readingOrder="0" shrinkToFit="0" vertical="center" wrapText="1"/>
    </xf>
    <xf borderId="22" fillId="0" fontId="2" numFmtId="0" xfId="0" applyAlignment="1" applyBorder="1" applyFont="1">
      <alignment readingOrder="0" shrinkToFit="0" wrapText="1"/>
    </xf>
    <xf borderId="23" fillId="0" fontId="6" numFmtId="0" xfId="0" applyBorder="1" applyFont="1"/>
    <xf borderId="24" fillId="0" fontId="6" numFmtId="0" xfId="0" applyBorder="1" applyFont="1"/>
    <xf borderId="22" fillId="3" fontId="2" numFmtId="0" xfId="0" applyAlignment="1" applyBorder="1" applyFill="1" applyFont="1">
      <alignment readingOrder="0" shrinkToFit="0" vertical="center" wrapText="1"/>
    </xf>
    <xf borderId="25" fillId="0" fontId="2" numFmtId="0" xfId="0" applyAlignment="1" applyBorder="1" applyFont="1">
      <alignment horizontal="center" readingOrder="0" shrinkToFit="0" vertical="center" wrapText="1"/>
    </xf>
    <xf borderId="12" fillId="0" fontId="2" numFmtId="0" xfId="0" applyAlignment="1" applyBorder="1" applyFont="1">
      <alignment horizontal="left" readingOrder="0" shrinkToFit="0" vertical="center" wrapText="1"/>
    </xf>
    <xf borderId="12" fillId="0" fontId="2" numFmtId="0" xfId="0" applyAlignment="1" applyBorder="1" applyFont="1">
      <alignment horizontal="center" readingOrder="0" shrinkToFit="0" vertical="center" wrapText="1"/>
    </xf>
    <xf borderId="26" fillId="0" fontId="2" numFmtId="0" xfId="0" applyAlignment="1" applyBorder="1" applyFont="1">
      <alignment readingOrder="0" shrinkToFit="0" wrapText="1"/>
    </xf>
    <xf borderId="26" fillId="3" fontId="2" numFmtId="0" xfId="0" applyAlignment="1" applyBorder="1" applyFill="1" applyFont="1">
      <alignment readingOrder="0" shrinkToFit="0" vertical="center" wrapText="1"/>
    </xf>
    <xf borderId="12" fillId="3" fontId="2" numFmtId="0" xfId="0" applyAlignment="1" applyBorder="1" applyFill="1" applyFont="1">
      <alignment horizontal="center" shrinkToFit="0" vertical="center" wrapText="1"/>
    </xf>
    <xf borderId="4" fillId="3" fontId="8" numFmtId="0" xfId="0" applyAlignment="1" applyBorder="1" applyFill="1" applyFont="1">
      <alignment vertical="center"/>
    </xf>
    <xf borderId="27" fillId="4" fontId="2" numFmtId="0" xfId="0" applyAlignment="1" applyBorder="1" applyFill="1" applyFont="1">
      <alignment horizontal="center" shrinkToFit="0" vertical="center" wrapText="1"/>
    </xf>
    <xf borderId="28" fillId="0" fontId="6" numFmtId="0" xfId="0" applyBorder="1" applyFont="1"/>
    <xf borderId="12" fillId="3" fontId="8" numFmtId="0" xfId="0" applyAlignment="1" applyBorder="1" applyFill="1" applyFont="1">
      <alignment vertical="center"/>
    </xf>
    <xf borderId="27" fillId="0" fontId="6" numFmtId="0" xfId="0" applyBorder="1" applyFont="1"/>
    <xf borderId="15" fillId="3" fontId="8" numFmtId="0" xfId="0" applyAlignment="1" applyBorder="1" applyFill="1" applyFont="1">
      <alignment vertical="center"/>
    </xf>
    <xf borderId="12" fillId="0" fontId="2" numFmtId="0" xfId="0" applyAlignment="1" applyBorder="1" applyFont="1">
      <alignment readingOrder="0" shrinkToFit="0" wrapText="1"/>
    </xf>
    <xf borderId="12" fillId="3" fontId="2" numFmtId="0" xfId="0" applyAlignment="1" applyBorder="1" applyFill="1" applyFont="1">
      <alignment readingOrder="0" shrinkToFit="0" vertical="center" wrapText="1"/>
    </xf>
    <xf borderId="29" fillId="0" fontId="6" numFmtId="0" xfId="0" applyBorder="1" applyFont="1"/>
    <xf borderId="30" fillId="0" fontId="6" numFmtId="0" xfId="0" applyBorder="1" applyFont="1"/>
    <xf borderId="4" fillId="0" fontId="2" numFmtId="0" xfId="0" applyAlignment="1" applyBorder="1" applyFont="1">
      <alignment readingOrder="0" shrinkToFit="0" wrapText="1"/>
    </xf>
    <xf borderId="4" fillId="3" fontId="2" numFmtId="0" xfId="0" applyAlignment="1" applyBorder="1" applyFill="1" applyFont="1">
      <alignment readingOrder="0" shrinkToFit="0" vertical="center" wrapText="1"/>
    </xf>
    <xf borderId="31" fillId="3" fontId="8" numFmtId="0" xfId="0" applyAlignment="1" applyBorder="1" applyFill="1" applyFont="1">
      <alignment vertical="center"/>
    </xf>
    <xf borderId="4" fillId="0" fontId="4" numFmtId="0" xfId="0" applyAlignment="1" applyBorder="1" applyFont="1">
      <alignment horizontal="left" readingOrder="0" shrinkToFit="0" vertical="center" wrapText="1"/>
    </xf>
    <xf borderId="5" fillId="0" fontId="2" numFmtId="0" xfId="0" applyAlignment="1" applyBorder="1" applyFont="1">
      <alignment readingOrder="0" shrinkToFit="0" wrapText="1"/>
    </xf>
    <xf borderId="32" fillId="0" fontId="6" numFmtId="0" xfId="0" applyBorder="1" applyFont="1"/>
    <xf borderId="16" fillId="0" fontId="8" numFmtId="0" xfId="0" applyAlignment="1" applyBorder="1" applyFont="1">
      <alignment shrinkToFit="0" vertical="bottom" wrapText="1"/>
    </xf>
    <xf borderId="33" fillId="0" fontId="6" numFmtId="0" xfId="0" applyBorder="1" applyFont="1"/>
    <xf borderId="5" fillId="0" fontId="4" numFmtId="0" xfId="0" applyAlignment="1" applyBorder="1" applyFont="1">
      <alignment horizontal="left" readingOrder="0" shrinkToFit="0" vertical="center" wrapText="1"/>
    </xf>
    <xf borderId="32" fillId="0" fontId="4" numFmtId="0" xfId="0" applyAlignment="1" applyBorder="1" applyFont="1">
      <alignment horizontal="center" readingOrder="0" shrinkToFit="0" vertical="center" wrapText="1"/>
    </xf>
    <xf borderId="32" fillId="0" fontId="2" numFmtId="0" xfId="0" applyAlignment="1" applyBorder="1" applyFont="1">
      <alignment readingOrder="0" shrinkToFit="0" wrapText="1"/>
    </xf>
    <xf borderId="5" fillId="3" fontId="2" numFmtId="0" xfId="0" applyAlignment="1" applyBorder="1" applyFill="1" applyFont="1">
      <alignment readingOrder="0" shrinkToFit="0" vertical="center" wrapText="1"/>
    </xf>
    <xf borderId="8" fillId="0" fontId="2" numFmtId="0" xfId="0" applyAlignment="1" applyBorder="1" applyFont="1">
      <alignment horizontal="left" readingOrder="0" shrinkToFit="0" wrapText="1"/>
    </xf>
    <xf borderId="8" fillId="0" fontId="2" numFmtId="0" xfId="0" applyAlignment="1" applyBorder="1" applyFont="1">
      <alignment horizontal="center" readingOrder="0" shrinkToFit="0" wrapText="1"/>
    </xf>
    <xf borderId="8" fillId="0" fontId="2" numFmtId="0" xfId="0" applyAlignment="1" applyBorder="1" applyFont="1">
      <alignment readingOrder="0" shrinkToFit="0" wrapText="1"/>
    </xf>
    <xf borderId="8" fillId="3" fontId="2" numFmtId="0" xfId="0" applyAlignment="1" applyBorder="1" applyFill="1" applyFont="1">
      <alignment readingOrder="0" shrinkToFit="0" vertical="center" wrapText="1"/>
    </xf>
    <xf borderId="34" fillId="3" fontId="8" numFmtId="0" xfId="0" applyAlignment="1" applyBorder="1" applyFill="1" applyFont="1">
      <alignment vertical="center"/>
    </xf>
    <xf borderId="35" fillId="4" fontId="2" numFmtId="0" xfId="0" applyAlignment="1" applyBorder="1" applyFill="1" applyFont="1">
      <alignment horizontal="center" shrinkToFit="0" vertical="center" wrapText="1"/>
    </xf>
    <xf borderId="36" fillId="3" fontId="8" numFmtId="0" xfId="0" applyAlignment="1" applyBorder="1" applyFill="1" applyFont="1">
      <alignment vertical="center"/>
    </xf>
    <xf borderId="15" fillId="0" fontId="2" numFmtId="0" xfId="0" applyAlignment="1" applyBorder="1" applyFont="1">
      <alignment readingOrder="0" shrinkToFit="0" wrapText="1"/>
    </xf>
    <xf borderId="4" fillId="0" fontId="2" numFmtId="0" xfId="0" applyAlignment="1" applyBorder="1" applyFont="1">
      <alignment horizontal="left" readingOrder="0" shrinkToFit="0" wrapText="1"/>
    </xf>
    <xf borderId="4" fillId="0" fontId="2" numFmtId="0" xfId="0" applyAlignment="1" applyBorder="1" applyFont="1">
      <alignment horizontal="center" readingOrder="0" shrinkToFit="0" wrapText="1"/>
    </xf>
    <xf borderId="31" fillId="0" fontId="4" numFmtId="0" xfId="0" applyAlignment="1" applyBorder="1" applyFont="1">
      <alignment horizontal="left" readingOrder="0" shrinkToFit="0" vertical="center" wrapText="1"/>
    </xf>
    <xf borderId="31" fillId="0" fontId="4" numFmtId="0" xfId="0" applyAlignment="1" applyBorder="1" applyFont="1">
      <alignment horizontal="center" shrinkToFit="0" wrapText="1"/>
    </xf>
    <xf borderId="31" fillId="0" fontId="2" numFmtId="0" xfId="0" applyAlignment="1" applyBorder="1" applyFont="1">
      <alignment shrinkToFit="0" wrapText="1"/>
    </xf>
    <xf borderId="37" fillId="3" fontId="2" numFmtId="0" xfId="0" applyAlignment="1" applyBorder="1" applyFill="1" applyFont="1">
      <alignment shrinkToFit="0" vertical="center" wrapText="1"/>
    </xf>
    <xf borderId="38" fillId="0" fontId="6" numFmtId="0" xfId="0" applyBorder="1" applyFont="1"/>
    <xf borderId="25" fillId="0" fontId="2" numFmtId="164" xfId="0" applyAlignment="1" applyBorder="1" applyFont="1" applyNumberFormat="1">
      <alignment horizontal="center" readingOrder="0" shrinkToFit="0" vertical="center" wrapText="1"/>
    </xf>
    <xf borderId="5" fillId="0" fontId="2" numFmtId="0" xfId="0" applyAlignment="1" applyBorder="1" applyFont="1">
      <alignment horizontal="left" shrinkToFit="0" wrapText="1"/>
    </xf>
    <xf borderId="36" fillId="0" fontId="2" numFmtId="0" xfId="0" applyAlignment="1" applyBorder="1" applyFont="1">
      <alignment horizontal="left" shrinkToFit="0" wrapText="1"/>
    </xf>
    <xf borderId="12" fillId="0" fontId="2" numFmtId="0" xfId="0" applyAlignment="1" applyBorder="1" applyFont="1">
      <alignment horizontal="center" readingOrder="0" shrinkToFit="0" wrapText="1"/>
    </xf>
    <xf borderId="39" fillId="0" fontId="2" numFmtId="0" xfId="0" applyAlignment="1" applyBorder="1" applyFont="1">
      <alignment readingOrder="0" shrinkToFit="0" wrapText="1"/>
    </xf>
    <xf borderId="36" fillId="0" fontId="2" numFmtId="0" xfId="0" applyBorder="1" applyFont="1"/>
    <xf borderId="12" fillId="0" fontId="2" numFmtId="0" xfId="0" applyAlignment="1" applyBorder="1" applyFont="1">
      <alignment horizontal="center" readingOrder="0"/>
    </xf>
    <xf borderId="40" fillId="0" fontId="2" numFmtId="0" xfId="0" applyAlignment="1" applyBorder="1" applyFont="1">
      <alignment horizontal="left" shrinkToFit="0" wrapText="1"/>
    </xf>
    <xf borderId="15" fillId="0" fontId="2" numFmtId="0" xfId="0" applyAlignment="1" applyBorder="1" applyFont="1">
      <alignment horizontal="center" readingOrder="0" shrinkToFit="0" wrapText="1"/>
    </xf>
    <xf borderId="41" fillId="0" fontId="2" numFmtId="0" xfId="0" applyAlignment="1" applyBorder="1" applyFont="1">
      <alignment readingOrder="0" shrinkToFit="0" wrapText="1"/>
    </xf>
    <xf borderId="4" fillId="0" fontId="8" numFmtId="0" xfId="0" applyAlignment="1" applyBorder="1" applyFont="1">
      <alignment shrinkToFit="0" vertical="bottom" wrapText="1"/>
    </xf>
    <xf borderId="12" fillId="0" fontId="8" numFmtId="0" xfId="0" applyAlignment="1" applyBorder="1" applyFont="1">
      <alignment shrinkToFit="0" vertical="bottom" wrapText="1"/>
    </xf>
    <xf borderId="12" fillId="0" fontId="8" numFmtId="0" xfId="0" applyAlignment="1" applyBorder="1" applyFont="1">
      <alignment readingOrder="0" shrinkToFit="0" vertical="bottom" wrapText="1"/>
    </xf>
    <xf borderId="4" fillId="0" fontId="2" numFmtId="0" xfId="0" applyAlignment="1" applyBorder="1" applyFont="1">
      <alignment horizontal="left" shrinkToFit="0" wrapText="1"/>
    </xf>
    <xf borderId="12" fillId="0" fontId="2" numFmtId="0" xfId="0" applyAlignment="1" applyBorder="1" applyFont="1">
      <alignment shrinkToFit="0" wrapText="1"/>
    </xf>
    <xf borderId="39" fillId="0" fontId="2" numFmtId="0" xfId="0" applyAlignment="1" applyBorder="1" applyFont="1">
      <alignment shrinkToFit="0" wrapText="1"/>
    </xf>
    <xf borderId="39" fillId="3" fontId="2" numFmtId="0" xfId="0" applyAlignment="1" applyBorder="1" applyFill="1" applyFont="1">
      <alignment shrinkToFit="0" wrapText="1"/>
    </xf>
    <xf borderId="6" fillId="4" fontId="2" numFmtId="0" xfId="0" applyAlignment="1" applyBorder="1" applyFill="1" applyFont="1">
      <alignment horizontal="center" shrinkToFit="0" vertical="center" wrapText="1"/>
    </xf>
    <xf borderId="12" fillId="0" fontId="2" numFmtId="0" xfId="0" applyAlignment="1" applyBorder="1" applyFont="1">
      <alignment horizontal="left" shrinkToFit="0" wrapText="1"/>
    </xf>
    <xf borderId="15" fillId="0" fontId="2" numFmtId="0" xfId="0" applyAlignment="1" applyBorder="1" applyFont="1">
      <alignment horizontal="left" shrinkToFit="0" wrapText="1"/>
    </xf>
    <xf borderId="39" fillId="3" fontId="2" numFmtId="0" xfId="0" applyAlignment="1" applyBorder="1" applyFill="1" applyFont="1">
      <alignment shrinkToFit="0" vertical="center" wrapText="1"/>
    </xf>
    <xf borderId="31" fillId="0" fontId="4" numFmtId="0" xfId="0" applyAlignment="1" applyBorder="1" applyFont="1">
      <alignment horizontal="center" readingOrder="0" shrinkToFit="0" wrapText="1"/>
    </xf>
    <xf borderId="31" fillId="0" fontId="2" numFmtId="0" xfId="0" applyAlignment="1" applyBorder="1" applyFont="1">
      <alignment readingOrder="0" shrinkToFit="0" wrapText="1"/>
    </xf>
    <xf borderId="38" fillId="0" fontId="2" numFmtId="0" xfId="0" applyAlignment="1" applyBorder="1" applyFont="1">
      <alignment shrinkToFit="0" vertical="center" wrapText="1"/>
    </xf>
    <xf borderId="31" fillId="0" fontId="2" numFmtId="0" xfId="0" applyAlignment="1" applyBorder="1" applyFont="1">
      <alignment shrinkToFit="0" vertical="center" wrapText="1"/>
    </xf>
    <xf borderId="42" fillId="0" fontId="2" numFmtId="0" xfId="0" applyAlignment="1" applyBorder="1" applyFont="1">
      <alignment horizontal="center" shrinkToFit="0" vertical="center" wrapText="1"/>
    </xf>
    <xf borderId="4" fillId="0" fontId="2" numFmtId="0" xfId="0" applyAlignment="1" applyBorder="1" applyFont="1">
      <alignment shrinkToFit="0" wrapText="1"/>
    </xf>
    <xf borderId="15" fillId="0" fontId="2" numFmtId="0" xfId="0" applyAlignment="1" applyBorder="1" applyFont="1">
      <alignment shrinkToFit="0" wrapText="1"/>
    </xf>
    <xf borderId="0" fillId="0" fontId="2" numFmtId="0" xfId="0" applyAlignment="1" applyFont="1">
      <alignment horizontal="left" shrinkToFit="0" wrapText="1"/>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6.88"/>
    <col customWidth="1" min="2" max="2" width="17.63"/>
    <col customWidth="1" min="3" max="3" width="7.75"/>
    <col customWidth="1" min="4" max="4" width="56.0"/>
    <col customWidth="1" min="5" max="5" width="29.0"/>
    <col customWidth="1" min="6" max="6" width="17.38"/>
    <col customWidth="1" min="7" max="7" width="8.75"/>
    <col customWidth="1" min="8" max="8" width="19.38"/>
    <col customWidth="1" min="9" max="10" width="16.5"/>
    <col customWidth="1" min="11" max="11" width="13.0"/>
  </cols>
  <sheetData>
    <row r="1" ht="105.75" customHeight="1">
      <c r="A1" s="1"/>
      <c r="B1" s="2"/>
      <c r="C1" s="1"/>
      <c r="D1" s="3" t="s">
        <v>0</v>
      </c>
      <c r="E1" s="4"/>
      <c r="F1" s="4"/>
      <c r="G1" s="5"/>
      <c r="H1" s="5"/>
      <c r="I1" s="5"/>
      <c r="J1" s="5"/>
      <c r="K1" s="5"/>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c r="A2" s="7"/>
      <c r="B2" s="8"/>
      <c r="C2" s="7"/>
      <c r="D2" s="9"/>
      <c r="E2" s="9"/>
      <c r="F2" s="9"/>
      <c r="G2" s="10" t="s">
        <v>1</v>
      </c>
      <c r="H2" s="11"/>
      <c r="I2" s="11"/>
      <c r="J2" s="11"/>
      <c r="K2" s="12"/>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row>
    <row r="3" ht="15.75" customHeight="1">
      <c r="A3" s="7"/>
      <c r="B3" s="14"/>
      <c r="C3" s="9"/>
      <c r="D3" s="9"/>
      <c r="E3" s="9"/>
      <c r="F3" s="9"/>
      <c r="G3" s="15" t="s">
        <v>2</v>
      </c>
      <c r="H3" s="16"/>
      <c r="I3" s="16"/>
      <c r="J3" s="16"/>
      <c r="K3" s="16"/>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row>
    <row r="4" ht="29.25" customHeight="1">
      <c r="A4" s="17" t="s">
        <v>3</v>
      </c>
      <c r="B4" s="18" t="s">
        <v>4</v>
      </c>
      <c r="C4" s="18" t="s">
        <v>5</v>
      </c>
      <c r="D4" s="18" t="s">
        <v>6</v>
      </c>
      <c r="E4" s="18" t="s">
        <v>7</v>
      </c>
      <c r="F4" s="18" t="s">
        <v>8</v>
      </c>
      <c r="G4" s="19" t="s">
        <v>9</v>
      </c>
      <c r="H4" s="20" t="s">
        <v>10</v>
      </c>
      <c r="I4" s="21" t="s">
        <v>11</v>
      </c>
      <c r="J4" s="22" t="s">
        <v>12</v>
      </c>
      <c r="K4" s="23" t="s">
        <v>13</v>
      </c>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row>
    <row r="5">
      <c r="A5" s="24">
        <v>1.0</v>
      </c>
      <c r="B5" s="25" t="s">
        <v>14</v>
      </c>
      <c r="C5" s="26">
        <v>4.0</v>
      </c>
      <c r="D5" s="27" t="s">
        <v>15</v>
      </c>
      <c r="E5" s="27" t="s">
        <v>16</v>
      </c>
      <c r="F5" s="27" t="s">
        <v>17</v>
      </c>
      <c r="G5" s="28">
        <v>1.0</v>
      </c>
      <c r="H5" s="29"/>
      <c r="I5" s="28"/>
      <c r="J5" s="28"/>
      <c r="K5" s="30">
        <f>SUM(MAX(G5,I5),MAX(G6,I6),MAX(G7,I7),MAX(G8,I8),MAX(G9,I9),MAX(G10,I10),MAX(G11,I11),MAX(G12,I12),MAX(G13,I13),MAX(G14,I14),MAX(G15,I15),MAX(G16,I16),MAX(G17,I17),MAX(G18,I18))</f>
        <v>2</v>
      </c>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row>
    <row r="6">
      <c r="A6" s="31"/>
      <c r="B6" s="32"/>
      <c r="C6" s="32"/>
      <c r="D6" s="33" t="s">
        <v>18</v>
      </c>
      <c r="E6" s="33" t="s">
        <v>19</v>
      </c>
      <c r="F6" s="33" t="s">
        <v>17</v>
      </c>
      <c r="G6" s="34">
        <v>1.0</v>
      </c>
      <c r="H6" s="32"/>
      <c r="I6" s="34"/>
      <c r="J6" s="34"/>
      <c r="K6" s="35"/>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row>
    <row r="7">
      <c r="A7" s="31"/>
      <c r="B7" s="32"/>
      <c r="C7" s="32"/>
      <c r="D7" s="33" t="s">
        <v>20</v>
      </c>
      <c r="E7" s="33" t="s">
        <v>21</v>
      </c>
      <c r="F7" s="33" t="s">
        <v>17</v>
      </c>
      <c r="G7" s="34"/>
      <c r="H7" s="32"/>
      <c r="I7" s="34"/>
      <c r="J7" s="34"/>
      <c r="K7" s="3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row>
    <row r="8">
      <c r="A8" s="31"/>
      <c r="B8" s="36"/>
      <c r="C8" s="36"/>
      <c r="D8" s="37" t="s">
        <v>22</v>
      </c>
      <c r="E8" s="37" t="s">
        <v>21</v>
      </c>
      <c r="F8" s="37" t="s">
        <v>23</v>
      </c>
      <c r="G8" s="38"/>
      <c r="H8" s="36"/>
      <c r="I8" s="38"/>
      <c r="J8" s="38"/>
      <c r="K8" s="35"/>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row>
    <row r="9">
      <c r="A9" s="31"/>
      <c r="B9" s="39" t="s">
        <v>24</v>
      </c>
      <c r="C9" s="40">
        <v>5.0</v>
      </c>
      <c r="D9" s="41" t="s">
        <v>25</v>
      </c>
      <c r="E9" s="41" t="s">
        <v>26</v>
      </c>
      <c r="F9" s="41" t="s">
        <v>17</v>
      </c>
      <c r="G9" s="42"/>
      <c r="H9" s="43"/>
      <c r="I9" s="42"/>
      <c r="J9" s="42"/>
      <c r="K9" s="35"/>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row>
    <row r="10">
      <c r="A10" s="31"/>
      <c r="B10" s="32"/>
      <c r="C10" s="32"/>
      <c r="D10" s="33" t="s">
        <v>27</v>
      </c>
      <c r="E10" s="33" t="s">
        <v>28</v>
      </c>
      <c r="F10" s="33" t="s">
        <v>17</v>
      </c>
      <c r="G10" s="34"/>
      <c r="H10" s="32"/>
      <c r="I10" s="34"/>
      <c r="J10" s="34"/>
      <c r="K10" s="35"/>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row>
    <row r="11">
      <c r="A11" s="31"/>
      <c r="B11" s="32"/>
      <c r="C11" s="32"/>
      <c r="D11" s="33" t="s">
        <v>29</v>
      </c>
      <c r="E11" s="33" t="s">
        <v>30</v>
      </c>
      <c r="F11" s="33" t="s">
        <v>17</v>
      </c>
      <c r="G11" s="34"/>
      <c r="H11" s="32"/>
      <c r="I11" s="34"/>
      <c r="J11" s="34"/>
      <c r="K11" s="35"/>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row>
    <row r="12">
      <c r="A12" s="31"/>
      <c r="B12" s="32"/>
      <c r="C12" s="32"/>
      <c r="D12" s="33" t="s">
        <v>31</v>
      </c>
      <c r="E12" s="44" t="s">
        <v>32</v>
      </c>
      <c r="F12" s="33" t="s">
        <v>23</v>
      </c>
      <c r="G12" s="34"/>
      <c r="H12" s="32"/>
      <c r="I12" s="34"/>
      <c r="J12" s="34"/>
      <c r="K12" s="35"/>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row>
    <row r="13">
      <c r="A13" s="31"/>
      <c r="B13" s="36"/>
      <c r="C13" s="36"/>
      <c r="D13" s="44" t="s">
        <v>33</v>
      </c>
      <c r="E13" s="44" t="s">
        <v>32</v>
      </c>
      <c r="F13" s="44" t="s">
        <v>23</v>
      </c>
      <c r="G13" s="45"/>
      <c r="H13" s="36"/>
      <c r="I13" s="45"/>
      <c r="J13" s="45"/>
      <c r="K13" s="35"/>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row>
    <row r="14">
      <c r="A14" s="31"/>
      <c r="B14" s="39" t="s">
        <v>34</v>
      </c>
      <c r="C14" s="40">
        <v>5.0</v>
      </c>
      <c r="D14" s="41" t="s">
        <v>35</v>
      </c>
      <c r="E14" s="41" t="s">
        <v>36</v>
      </c>
      <c r="F14" s="44" t="s">
        <v>23</v>
      </c>
      <c r="G14" s="42"/>
      <c r="H14" s="43"/>
      <c r="I14" s="42"/>
      <c r="J14" s="42"/>
      <c r="K14" s="35"/>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row>
    <row r="15">
      <c r="A15" s="31"/>
      <c r="B15" s="32"/>
      <c r="C15" s="32"/>
      <c r="D15" s="33" t="s">
        <v>37</v>
      </c>
      <c r="E15" s="33" t="s">
        <v>21</v>
      </c>
      <c r="F15" s="44" t="s">
        <v>23</v>
      </c>
      <c r="G15" s="34"/>
      <c r="H15" s="32"/>
      <c r="I15" s="34"/>
      <c r="J15" s="34"/>
      <c r="K15" s="35"/>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row>
    <row r="16">
      <c r="A16" s="31"/>
      <c r="B16" s="36"/>
      <c r="C16" s="36"/>
      <c r="D16" s="44" t="s">
        <v>38</v>
      </c>
      <c r="E16" s="33" t="s">
        <v>21</v>
      </c>
      <c r="F16" s="44" t="s">
        <v>23</v>
      </c>
      <c r="G16" s="45"/>
      <c r="H16" s="36"/>
      <c r="I16" s="45"/>
      <c r="J16" s="45"/>
      <c r="K16" s="35"/>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row>
    <row r="17">
      <c r="A17" s="31"/>
      <c r="B17" s="39" t="s">
        <v>39</v>
      </c>
      <c r="C17" s="40">
        <v>2.0</v>
      </c>
      <c r="D17" s="41" t="s">
        <v>40</v>
      </c>
      <c r="E17" s="33" t="s">
        <v>41</v>
      </c>
      <c r="F17" s="41" t="s">
        <v>17</v>
      </c>
      <c r="G17" s="42"/>
      <c r="H17" s="43"/>
      <c r="I17" s="42"/>
      <c r="J17" s="42"/>
      <c r="K17" s="35"/>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c r="A18" s="31"/>
      <c r="B18" s="36"/>
      <c r="C18" s="36"/>
      <c r="D18" s="37" t="s">
        <v>42</v>
      </c>
      <c r="E18" s="33" t="s">
        <v>43</v>
      </c>
      <c r="F18" s="37" t="s">
        <v>23</v>
      </c>
      <c r="G18" s="38"/>
      <c r="H18" s="36"/>
      <c r="I18" s="38"/>
      <c r="J18" s="38"/>
      <c r="K18" s="4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row>
    <row r="19">
      <c r="A19" s="47"/>
      <c r="B19" s="48" t="s">
        <v>44</v>
      </c>
      <c r="C19" s="49">
        <f>SUM(C5:C18)</f>
        <v>16</v>
      </c>
      <c r="D19" s="50"/>
      <c r="E19" s="51"/>
      <c r="F19" s="52"/>
      <c r="G19" s="53"/>
      <c r="H19" s="51"/>
      <c r="I19" s="51"/>
      <c r="J19" s="51"/>
      <c r="K19" s="52"/>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row>
    <row r="20">
      <c r="A20" s="54">
        <v>2.0</v>
      </c>
      <c r="B20" s="55" t="s">
        <v>45</v>
      </c>
      <c r="C20" s="56">
        <v>5.0</v>
      </c>
      <c r="D20" s="57" t="s">
        <v>46</v>
      </c>
      <c r="E20" s="57" t="s">
        <v>21</v>
      </c>
      <c r="F20" s="57" t="s">
        <v>17</v>
      </c>
      <c r="G20" s="58"/>
      <c r="H20" s="59"/>
      <c r="I20" s="58"/>
      <c r="J20" s="60"/>
      <c r="K20" s="61">
        <f>SUM(MAX(G20,I20),MAX(G21,I21),MAX(G22,I22),MAX(G23,I23),MAX(G24,I24),MAX(G25,I25),MAX(G26,I26),MAX(G27,I27),MAX(G28,I28),MAX(G29,I29),MAX(G30,I30),MAX(G31,I31),MAX(G32,I32),MAX(G33,I33),MAX(G34,I34))</f>
        <v>0</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row>
    <row r="21">
      <c r="A21" s="62"/>
      <c r="B21" s="32"/>
      <c r="C21" s="32"/>
      <c r="D21" s="33" t="s">
        <v>47</v>
      </c>
      <c r="E21" s="33" t="s">
        <v>21</v>
      </c>
      <c r="F21" s="33" t="s">
        <v>23</v>
      </c>
      <c r="G21" s="34"/>
      <c r="H21" s="32"/>
      <c r="I21" s="34"/>
      <c r="J21" s="63"/>
      <c r="K21" s="64"/>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row>
    <row r="22">
      <c r="A22" s="62"/>
      <c r="B22" s="32"/>
      <c r="C22" s="32"/>
      <c r="D22" s="33" t="s">
        <v>48</v>
      </c>
      <c r="E22" s="33" t="s">
        <v>21</v>
      </c>
      <c r="F22" s="33" t="s">
        <v>23</v>
      </c>
      <c r="G22" s="34"/>
      <c r="H22" s="32"/>
      <c r="I22" s="34"/>
      <c r="J22" s="63"/>
      <c r="K22" s="64"/>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row>
    <row r="23">
      <c r="A23" s="62"/>
      <c r="B23" s="32"/>
      <c r="C23" s="32"/>
      <c r="D23" s="33" t="s">
        <v>49</v>
      </c>
      <c r="E23" s="33" t="s">
        <v>21</v>
      </c>
      <c r="F23" s="33" t="s">
        <v>23</v>
      </c>
      <c r="G23" s="34"/>
      <c r="H23" s="32"/>
      <c r="I23" s="34"/>
      <c r="J23" s="63"/>
      <c r="K23" s="64"/>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row>
    <row r="24">
      <c r="A24" s="62"/>
      <c r="B24" s="36"/>
      <c r="C24" s="36"/>
      <c r="D24" s="44" t="s">
        <v>50</v>
      </c>
      <c r="E24" s="33" t="s">
        <v>21</v>
      </c>
      <c r="F24" s="33" t="s">
        <v>23</v>
      </c>
      <c r="G24" s="45"/>
      <c r="H24" s="36"/>
      <c r="I24" s="45"/>
      <c r="J24" s="65"/>
      <c r="K24" s="64"/>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row>
    <row r="25">
      <c r="A25" s="62"/>
      <c r="B25" s="39" t="s">
        <v>51</v>
      </c>
      <c r="C25" s="40">
        <v>4.0</v>
      </c>
      <c r="D25" s="41" t="s">
        <v>52</v>
      </c>
      <c r="E25" s="41" t="s">
        <v>21</v>
      </c>
      <c r="F25" s="41" t="s">
        <v>17</v>
      </c>
      <c r="G25" s="42"/>
      <c r="H25" s="43"/>
      <c r="I25" s="42"/>
      <c r="J25" s="60"/>
      <c r="K25" s="64"/>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row>
    <row r="26">
      <c r="A26" s="62"/>
      <c r="B26" s="32"/>
      <c r="C26" s="32"/>
      <c r="D26" s="33" t="s">
        <v>53</v>
      </c>
      <c r="E26" s="33" t="s">
        <v>21</v>
      </c>
      <c r="F26" s="33" t="s">
        <v>17</v>
      </c>
      <c r="G26" s="34"/>
      <c r="H26" s="32"/>
      <c r="I26" s="34"/>
      <c r="J26" s="63"/>
      <c r="K26" s="64"/>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row>
    <row r="27">
      <c r="A27" s="62"/>
      <c r="B27" s="32"/>
      <c r="C27" s="32"/>
      <c r="D27" s="33" t="s">
        <v>54</v>
      </c>
      <c r="E27" s="41" t="s">
        <v>21</v>
      </c>
      <c r="F27" s="33" t="s">
        <v>17</v>
      </c>
      <c r="G27" s="34"/>
      <c r="H27" s="32"/>
      <c r="I27" s="34"/>
      <c r="J27" s="63"/>
      <c r="K27" s="64"/>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row>
    <row r="28">
      <c r="A28" s="62"/>
      <c r="B28" s="36"/>
      <c r="C28" s="36"/>
      <c r="D28" s="44" t="s">
        <v>55</v>
      </c>
      <c r="E28" s="41" t="s">
        <v>21</v>
      </c>
      <c r="F28" s="44" t="s">
        <v>17</v>
      </c>
      <c r="G28" s="45"/>
      <c r="H28" s="36"/>
      <c r="I28" s="45"/>
      <c r="J28" s="65"/>
      <c r="K28" s="64"/>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row>
    <row r="29">
      <c r="A29" s="62"/>
      <c r="B29" s="39" t="s">
        <v>56</v>
      </c>
      <c r="C29" s="40">
        <v>4.0</v>
      </c>
      <c r="D29" s="41" t="s">
        <v>57</v>
      </c>
      <c r="E29" s="41" t="s">
        <v>58</v>
      </c>
      <c r="F29" s="41" t="s">
        <v>17</v>
      </c>
      <c r="G29" s="42"/>
      <c r="H29" s="43"/>
      <c r="I29" s="42"/>
      <c r="J29" s="60"/>
      <c r="K29" s="64"/>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row>
    <row r="30">
      <c r="A30" s="62"/>
      <c r="B30" s="32"/>
      <c r="C30" s="32"/>
      <c r="D30" s="33" t="s">
        <v>59</v>
      </c>
      <c r="E30" s="33" t="s">
        <v>58</v>
      </c>
      <c r="F30" s="33" t="s">
        <v>17</v>
      </c>
      <c r="G30" s="34"/>
      <c r="H30" s="32"/>
      <c r="I30" s="34"/>
      <c r="J30" s="63"/>
      <c r="K30" s="64"/>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row>
    <row r="31">
      <c r="A31" s="62"/>
      <c r="B31" s="32"/>
      <c r="C31" s="32"/>
      <c r="D31" s="33" t="s">
        <v>60</v>
      </c>
      <c r="E31" s="33" t="s">
        <v>58</v>
      </c>
      <c r="F31" s="33" t="s">
        <v>17</v>
      </c>
      <c r="G31" s="34"/>
      <c r="H31" s="32"/>
      <c r="I31" s="34"/>
      <c r="J31" s="63"/>
      <c r="K31" s="64"/>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row>
    <row r="32">
      <c r="A32" s="62"/>
      <c r="B32" s="36"/>
      <c r="C32" s="36"/>
      <c r="D32" s="44" t="s">
        <v>61</v>
      </c>
      <c r="E32" s="44" t="s">
        <v>21</v>
      </c>
      <c r="F32" s="44" t="s">
        <v>23</v>
      </c>
      <c r="G32" s="45"/>
      <c r="H32" s="36"/>
      <c r="I32" s="45"/>
      <c r="J32" s="65"/>
      <c r="K32" s="64"/>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row>
    <row r="33">
      <c r="A33" s="62"/>
      <c r="B33" s="39" t="s">
        <v>62</v>
      </c>
      <c r="C33" s="40">
        <v>2.0</v>
      </c>
      <c r="D33" s="41" t="s">
        <v>63</v>
      </c>
      <c r="E33" s="41" t="s">
        <v>21</v>
      </c>
      <c r="F33" s="41" t="s">
        <v>17</v>
      </c>
      <c r="G33" s="42"/>
      <c r="H33" s="43"/>
      <c r="I33" s="42"/>
      <c r="J33" s="60"/>
      <c r="K33" s="64"/>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row>
    <row r="34">
      <c r="A34" s="62"/>
      <c r="B34" s="32"/>
      <c r="C34" s="32"/>
      <c r="D34" s="37" t="s">
        <v>64</v>
      </c>
      <c r="E34" s="37" t="s">
        <v>21</v>
      </c>
      <c r="F34" s="66" t="s">
        <v>23</v>
      </c>
      <c r="G34" s="67"/>
      <c r="H34" s="32"/>
      <c r="I34" s="67"/>
      <c r="J34" s="65"/>
      <c r="K34" s="64"/>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row>
    <row r="35">
      <c r="A35" s="68"/>
      <c r="B35" s="48" t="s">
        <v>44</v>
      </c>
      <c r="C35" s="49">
        <f>SUM(C20:C34)</f>
        <v>15</v>
      </c>
      <c r="D35" s="50"/>
      <c r="E35" s="51"/>
      <c r="F35" s="52"/>
      <c r="G35" s="53"/>
      <c r="H35" s="51"/>
      <c r="I35" s="51"/>
      <c r="J35" s="51"/>
      <c r="K35" s="69"/>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row>
    <row r="36">
      <c r="A36" s="24">
        <v>3.0</v>
      </c>
      <c r="B36" s="55" t="s">
        <v>65</v>
      </c>
      <c r="C36" s="56">
        <v>10.0</v>
      </c>
      <c r="D36" s="57" t="s">
        <v>66</v>
      </c>
      <c r="E36" s="57" t="s">
        <v>21</v>
      </c>
      <c r="F36" s="57" t="s">
        <v>17</v>
      </c>
      <c r="G36" s="58"/>
      <c r="H36" s="59"/>
      <c r="I36" s="58"/>
      <c r="J36" s="60"/>
      <c r="K36" s="30">
        <f>SUM(MAX(G36,I36),MAX(G37,I37),MAX(G38,I38),MAX(G39,I39),MAX(G40,I40),MAX(G41,I41),MAX(G42,I42),MAX(G43,I43),MAX(G44,I44),MAX(G45,I45),MAX(G46,I46))</f>
        <v>0</v>
      </c>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row>
    <row r="37">
      <c r="A37" s="31"/>
      <c r="B37" s="32"/>
      <c r="C37" s="32"/>
      <c r="D37" s="33" t="s">
        <v>67</v>
      </c>
      <c r="E37" s="33" t="s">
        <v>21</v>
      </c>
      <c r="F37" s="33" t="s">
        <v>17</v>
      </c>
      <c r="G37" s="34"/>
      <c r="H37" s="32"/>
      <c r="I37" s="34"/>
      <c r="J37" s="63"/>
      <c r="K37" s="35"/>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row>
    <row r="38">
      <c r="A38" s="31"/>
      <c r="B38" s="32"/>
      <c r="C38" s="32"/>
      <c r="D38" s="33" t="s">
        <v>68</v>
      </c>
      <c r="E38" s="33" t="s">
        <v>21</v>
      </c>
      <c r="F38" s="33" t="s">
        <v>17</v>
      </c>
      <c r="G38" s="34"/>
      <c r="H38" s="32"/>
      <c r="I38" s="34"/>
      <c r="J38" s="63"/>
      <c r="K38" s="35"/>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row>
    <row r="39">
      <c r="A39" s="31"/>
      <c r="B39" s="32"/>
      <c r="C39" s="32"/>
      <c r="D39" s="33" t="s">
        <v>69</v>
      </c>
      <c r="E39" s="33" t="s">
        <v>21</v>
      </c>
      <c r="F39" s="33" t="s">
        <v>23</v>
      </c>
      <c r="G39" s="34"/>
      <c r="H39" s="32"/>
      <c r="I39" s="34"/>
      <c r="J39" s="63"/>
      <c r="K39" s="35"/>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row>
    <row r="40">
      <c r="A40" s="31"/>
      <c r="B40" s="32"/>
      <c r="C40" s="32"/>
      <c r="D40" s="33" t="s">
        <v>70</v>
      </c>
      <c r="E40" s="33" t="s">
        <v>21</v>
      </c>
      <c r="F40" s="33" t="s">
        <v>23</v>
      </c>
      <c r="G40" s="34"/>
      <c r="H40" s="32"/>
      <c r="I40" s="34"/>
      <c r="J40" s="63"/>
      <c r="K40" s="35"/>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row>
    <row r="41">
      <c r="A41" s="31"/>
      <c r="B41" s="32"/>
      <c r="C41" s="32"/>
      <c r="D41" s="33" t="s">
        <v>71</v>
      </c>
      <c r="E41" s="33" t="s">
        <v>21</v>
      </c>
      <c r="F41" s="33" t="s">
        <v>23</v>
      </c>
      <c r="G41" s="34"/>
      <c r="H41" s="32"/>
      <c r="I41" s="34"/>
      <c r="J41" s="63"/>
      <c r="K41" s="35"/>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row>
    <row r="42">
      <c r="A42" s="31"/>
      <c r="B42" s="32"/>
      <c r="C42" s="32"/>
      <c r="D42" s="33" t="s">
        <v>72</v>
      </c>
      <c r="E42" s="33" t="s">
        <v>21</v>
      </c>
      <c r="F42" s="33" t="s">
        <v>17</v>
      </c>
      <c r="G42" s="34"/>
      <c r="H42" s="32"/>
      <c r="I42" s="34"/>
      <c r="J42" s="63"/>
      <c r="K42" s="35"/>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c r="A43" s="31"/>
      <c r="B43" s="32"/>
      <c r="C43" s="32"/>
      <c r="D43" s="33" t="s">
        <v>73</v>
      </c>
      <c r="E43" s="33" t="s">
        <v>21</v>
      </c>
      <c r="F43" s="33" t="s">
        <v>23</v>
      </c>
      <c r="G43" s="34"/>
      <c r="H43" s="32"/>
      <c r="I43" s="34"/>
      <c r="J43" s="63"/>
      <c r="K43" s="35"/>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row>
    <row r="44">
      <c r="A44" s="31"/>
      <c r="B44" s="32"/>
      <c r="C44" s="32"/>
      <c r="D44" s="33" t="s">
        <v>74</v>
      </c>
      <c r="E44" s="33" t="s">
        <v>21</v>
      </c>
      <c r="F44" s="33" t="s">
        <v>23</v>
      </c>
      <c r="G44" s="34"/>
      <c r="H44" s="32"/>
      <c r="I44" s="34"/>
      <c r="J44" s="63"/>
      <c r="K44" s="35"/>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row>
    <row r="45">
      <c r="A45" s="31"/>
      <c r="B45" s="36"/>
      <c r="C45" s="36"/>
      <c r="D45" s="44" t="s">
        <v>75</v>
      </c>
      <c r="E45" s="44" t="s">
        <v>21</v>
      </c>
      <c r="F45" s="44" t="s">
        <v>23</v>
      </c>
      <c r="G45" s="45"/>
      <c r="H45" s="36"/>
      <c r="I45" s="45"/>
      <c r="J45" s="65"/>
      <c r="K45" s="35"/>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row>
    <row r="46">
      <c r="A46" s="31"/>
      <c r="B46" s="39" t="s">
        <v>76</v>
      </c>
      <c r="C46" s="40">
        <v>2.0</v>
      </c>
      <c r="D46" s="70" t="s">
        <v>77</v>
      </c>
      <c r="E46" s="70" t="s">
        <v>21</v>
      </c>
      <c r="F46" s="70" t="s">
        <v>23</v>
      </c>
      <c r="G46" s="71"/>
      <c r="H46" s="43"/>
      <c r="I46" s="71"/>
      <c r="J46" s="72"/>
      <c r="K46" s="4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row>
    <row r="47">
      <c r="A47" s="47"/>
      <c r="B47" s="73" t="s">
        <v>44</v>
      </c>
      <c r="C47" s="18">
        <f>SUM(C36:C46)</f>
        <v>12</v>
      </c>
      <c r="D47" s="74"/>
      <c r="E47" s="16"/>
      <c r="F47" s="75"/>
      <c r="G47" s="53"/>
      <c r="H47" s="51"/>
      <c r="I47" s="51"/>
      <c r="J47" s="51"/>
      <c r="K47" s="69"/>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row>
    <row r="48">
      <c r="A48" s="24">
        <v>4.0</v>
      </c>
      <c r="B48" s="25" t="s">
        <v>78</v>
      </c>
      <c r="C48" s="26">
        <v>5.0</v>
      </c>
      <c r="D48" s="27" t="s">
        <v>79</v>
      </c>
      <c r="E48" s="27" t="s">
        <v>21</v>
      </c>
      <c r="F48" s="27" t="s">
        <v>17</v>
      </c>
      <c r="G48" s="28">
        <v>1.0</v>
      </c>
      <c r="H48" s="29"/>
      <c r="I48" s="28"/>
      <c r="J48" s="60"/>
      <c r="K48" s="30">
        <f>SUM(MAX(G48,I48),MAX(G49,I49),MAX(G50,I50),MAX(G51,I51),MAX(G52,I52))</f>
        <v>2</v>
      </c>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row>
    <row r="49">
      <c r="A49" s="31"/>
      <c r="B49" s="32"/>
      <c r="C49" s="32"/>
      <c r="D49" s="33" t="s">
        <v>80</v>
      </c>
      <c r="E49" s="33" t="s">
        <v>21</v>
      </c>
      <c r="F49" s="33" t="s">
        <v>23</v>
      </c>
      <c r="G49" s="34"/>
      <c r="H49" s="32"/>
      <c r="I49" s="34"/>
      <c r="J49" s="63"/>
      <c r="K49" s="35"/>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row>
    <row r="50">
      <c r="A50" s="31"/>
      <c r="B50" s="32"/>
      <c r="C50" s="32"/>
      <c r="D50" s="33" t="s">
        <v>81</v>
      </c>
      <c r="E50" s="33" t="s">
        <v>82</v>
      </c>
      <c r="F50" s="33" t="s">
        <v>17</v>
      </c>
      <c r="G50" s="34">
        <v>1.0</v>
      </c>
      <c r="H50" s="32"/>
      <c r="I50" s="34"/>
      <c r="J50" s="63"/>
      <c r="K50" s="35"/>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row>
    <row r="51">
      <c r="A51" s="31"/>
      <c r="B51" s="32"/>
      <c r="C51" s="32"/>
      <c r="D51" s="33" t="s">
        <v>83</v>
      </c>
      <c r="E51" s="33" t="s">
        <v>21</v>
      </c>
      <c r="F51" s="33" t="s">
        <v>17</v>
      </c>
      <c r="G51" s="34"/>
      <c r="H51" s="32"/>
      <c r="I51" s="34"/>
      <c r="J51" s="63"/>
      <c r="K51" s="35"/>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row>
    <row r="52">
      <c r="A52" s="31"/>
      <c r="B52" s="32"/>
      <c r="C52" s="32"/>
      <c r="D52" s="76" t="s">
        <v>84</v>
      </c>
      <c r="E52" s="76" t="s">
        <v>21</v>
      </c>
      <c r="F52" s="76" t="s">
        <v>23</v>
      </c>
      <c r="G52" s="38"/>
      <c r="H52" s="32"/>
      <c r="I52" s="38"/>
      <c r="J52" s="65"/>
      <c r="K52" s="35"/>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row>
    <row r="53">
      <c r="A53" s="47"/>
      <c r="B53" s="73" t="s">
        <v>44</v>
      </c>
      <c r="C53" s="49">
        <f>SUM(C48)</f>
        <v>5</v>
      </c>
      <c r="D53" s="50"/>
      <c r="E53" s="51"/>
      <c r="F53" s="52"/>
      <c r="G53" s="53"/>
      <c r="H53" s="51"/>
      <c r="I53" s="51"/>
      <c r="J53" s="51"/>
      <c r="K53" s="69"/>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row>
    <row r="54">
      <c r="A54" s="24">
        <v>5.0</v>
      </c>
      <c r="B54" s="25" t="s">
        <v>85</v>
      </c>
      <c r="C54" s="26">
        <v>5.0</v>
      </c>
      <c r="D54" s="27" t="s">
        <v>86</v>
      </c>
      <c r="E54" s="27" t="s">
        <v>21</v>
      </c>
      <c r="F54" s="27" t="s">
        <v>17</v>
      </c>
      <c r="G54" s="28"/>
      <c r="H54" s="29"/>
      <c r="I54" s="28"/>
      <c r="J54" s="60"/>
      <c r="K54" s="30">
        <f>SUM(MAX(G54,I54),MAX(G55,I55),MAX(G56,I56),MAX(G57,I57),MAX(G58,I58),MAX(G59,I59),MAX(G60,I60))</f>
        <v>0</v>
      </c>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row>
    <row r="55">
      <c r="A55" s="31"/>
      <c r="B55" s="32"/>
      <c r="C55" s="32"/>
      <c r="D55" s="33" t="s">
        <v>87</v>
      </c>
      <c r="E55" s="33" t="s">
        <v>21</v>
      </c>
      <c r="F55" s="33" t="s">
        <v>17</v>
      </c>
      <c r="G55" s="34"/>
      <c r="H55" s="32"/>
      <c r="I55" s="34"/>
      <c r="J55" s="63"/>
      <c r="K55" s="35"/>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row>
    <row r="56">
      <c r="A56" s="31"/>
      <c r="B56" s="32"/>
      <c r="C56" s="32"/>
      <c r="D56" s="33" t="s">
        <v>88</v>
      </c>
      <c r="E56" s="33" t="s">
        <v>21</v>
      </c>
      <c r="F56" s="33" t="s">
        <v>23</v>
      </c>
      <c r="G56" s="34"/>
      <c r="H56" s="32"/>
      <c r="I56" s="34"/>
      <c r="J56" s="63"/>
      <c r="K56" s="35"/>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row>
    <row r="57">
      <c r="A57" s="31"/>
      <c r="B57" s="32"/>
      <c r="C57" s="32"/>
      <c r="D57" s="33" t="s">
        <v>89</v>
      </c>
      <c r="E57" s="33" t="s">
        <v>90</v>
      </c>
      <c r="F57" s="33" t="s">
        <v>17</v>
      </c>
      <c r="G57" s="34"/>
      <c r="H57" s="32"/>
      <c r="I57" s="34"/>
      <c r="J57" s="63"/>
      <c r="K57" s="35"/>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row>
    <row r="58">
      <c r="A58" s="31"/>
      <c r="B58" s="36"/>
      <c r="C58" s="36"/>
      <c r="D58" s="44" t="s">
        <v>91</v>
      </c>
      <c r="E58" s="44" t="s">
        <v>21</v>
      </c>
      <c r="F58" s="44" t="s">
        <v>23</v>
      </c>
      <c r="G58" s="45"/>
      <c r="H58" s="36"/>
      <c r="I58" s="45"/>
      <c r="J58" s="65"/>
      <c r="K58" s="35"/>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row>
    <row r="59">
      <c r="A59" s="31"/>
      <c r="B59" s="39" t="s">
        <v>92</v>
      </c>
      <c r="C59" s="40">
        <v>4.0</v>
      </c>
      <c r="D59" s="41" t="s">
        <v>93</v>
      </c>
      <c r="E59" s="41" t="s">
        <v>21</v>
      </c>
      <c r="F59" s="41" t="s">
        <v>23</v>
      </c>
      <c r="G59" s="42"/>
      <c r="H59" s="43"/>
      <c r="I59" s="42"/>
      <c r="J59" s="60"/>
      <c r="K59" s="35"/>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row>
    <row r="60">
      <c r="A60" s="31"/>
      <c r="B60" s="77"/>
      <c r="C60" s="77"/>
      <c r="D60" s="37" t="s">
        <v>94</v>
      </c>
      <c r="E60" s="37" t="s">
        <v>95</v>
      </c>
      <c r="F60" s="37" t="s">
        <v>17</v>
      </c>
      <c r="G60" s="38"/>
      <c r="H60" s="36"/>
      <c r="I60" s="38"/>
      <c r="J60" s="65"/>
      <c r="K60" s="4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row>
    <row r="61">
      <c r="A61" s="47"/>
      <c r="B61" s="78" t="s">
        <v>44</v>
      </c>
      <c r="C61" s="79">
        <f>SUM(C54:C60)</f>
        <v>9</v>
      </c>
      <c r="D61" s="80"/>
      <c r="E61" s="70"/>
      <c r="F61" s="70"/>
      <c r="G61" s="81"/>
      <c r="H61" s="16"/>
      <c r="I61" s="16"/>
      <c r="J61" s="16"/>
      <c r="K61" s="75"/>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row>
    <row r="62">
      <c r="A62" s="54">
        <v>6.0</v>
      </c>
      <c r="B62" s="82" t="s">
        <v>96</v>
      </c>
      <c r="C62" s="83">
        <v>5.0</v>
      </c>
      <c r="D62" s="84" t="s">
        <v>97</v>
      </c>
      <c r="E62" s="84" t="s">
        <v>21</v>
      </c>
      <c r="F62" s="84" t="s">
        <v>17</v>
      </c>
      <c r="G62" s="85"/>
      <c r="H62" s="29"/>
      <c r="I62" s="85"/>
      <c r="J62" s="86"/>
      <c r="K62" s="87">
        <f>SUM(MAX(G62,I62),MAX(G63,I63),MAX(G64,I64),MAX(G65,I65),MAX(G66,I66),MAX(G67,I67),MAX(G68,I68))</f>
        <v>0</v>
      </c>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row>
    <row r="63">
      <c r="A63" s="62"/>
      <c r="B63" s="32"/>
      <c r="C63" s="32"/>
      <c r="D63" s="66" t="s">
        <v>98</v>
      </c>
      <c r="E63" s="66" t="s">
        <v>21</v>
      </c>
      <c r="F63" s="66" t="s">
        <v>17</v>
      </c>
      <c r="G63" s="67"/>
      <c r="H63" s="59"/>
      <c r="I63" s="67"/>
      <c r="J63" s="88"/>
      <c r="K63" s="64"/>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c r="A64" s="62"/>
      <c r="B64" s="32"/>
      <c r="C64" s="32"/>
      <c r="D64" s="66" t="s">
        <v>99</v>
      </c>
      <c r="E64" s="66" t="s">
        <v>21</v>
      </c>
      <c r="F64" s="66" t="s">
        <v>17</v>
      </c>
      <c r="G64" s="67"/>
      <c r="H64" s="59"/>
      <c r="I64" s="67"/>
      <c r="J64" s="88"/>
      <c r="K64" s="64"/>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row>
    <row r="65">
      <c r="A65" s="62"/>
      <c r="B65" s="32"/>
      <c r="C65" s="32"/>
      <c r="D65" s="89" t="s">
        <v>100</v>
      </c>
      <c r="E65" s="89" t="s">
        <v>21</v>
      </c>
      <c r="F65" s="89" t="s">
        <v>17</v>
      </c>
      <c r="G65" s="67"/>
      <c r="H65" s="59"/>
      <c r="I65" s="67"/>
      <c r="J65" s="88"/>
      <c r="K65" s="64"/>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row>
    <row r="66">
      <c r="A66" s="62"/>
      <c r="B66" s="90" t="s">
        <v>92</v>
      </c>
      <c r="C66" s="91">
        <v>3.0</v>
      </c>
      <c r="D66" s="66" t="s">
        <v>101</v>
      </c>
      <c r="E66" s="66" t="s">
        <v>21</v>
      </c>
      <c r="F66" s="66" t="s">
        <v>23</v>
      </c>
      <c r="G66" s="67"/>
      <c r="H66" s="59"/>
      <c r="I66" s="67"/>
      <c r="J66" s="88"/>
      <c r="K66" s="64"/>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row>
    <row r="67">
      <c r="A67" s="62"/>
      <c r="B67" s="32"/>
      <c r="C67" s="32"/>
      <c r="D67" s="66" t="s">
        <v>102</v>
      </c>
      <c r="E67" s="66" t="s">
        <v>21</v>
      </c>
      <c r="F67" s="66" t="s">
        <v>23</v>
      </c>
      <c r="G67" s="67"/>
      <c r="H67" s="59"/>
      <c r="I67" s="67"/>
      <c r="J67" s="88"/>
      <c r="K67" s="64"/>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row>
    <row r="68">
      <c r="A68" s="62"/>
      <c r="B68" s="36"/>
      <c r="C68" s="36"/>
      <c r="D68" s="66" t="s">
        <v>103</v>
      </c>
      <c r="E68" s="66" t="s">
        <v>21</v>
      </c>
      <c r="F68" s="66" t="s">
        <v>23</v>
      </c>
      <c r="G68" s="67"/>
      <c r="H68" s="59"/>
      <c r="I68" s="67"/>
      <c r="J68" s="88"/>
      <c r="K68" s="64"/>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row>
    <row r="69">
      <c r="A69" s="68"/>
      <c r="B69" s="92" t="s">
        <v>44</v>
      </c>
      <c r="C69" s="93">
        <f>SUM(C62:C68)</f>
        <v>8</v>
      </c>
      <c r="D69" s="94"/>
      <c r="E69" s="94"/>
      <c r="F69" s="94"/>
      <c r="G69" s="95"/>
      <c r="H69" s="11"/>
      <c r="I69" s="11"/>
      <c r="J69" s="11"/>
      <c r="K69" s="9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row>
    <row r="70">
      <c r="A70" s="97">
        <v>45876.0</v>
      </c>
      <c r="B70" s="98"/>
      <c r="C70" s="91">
        <v>2.0</v>
      </c>
      <c r="D70" s="70" t="s">
        <v>104</v>
      </c>
      <c r="E70" s="80" t="s">
        <v>21</v>
      </c>
      <c r="F70" s="66" t="s">
        <v>17</v>
      </c>
      <c r="G70" s="67"/>
      <c r="H70" s="29"/>
      <c r="I70" s="67"/>
      <c r="J70" s="88"/>
      <c r="K70" s="87">
        <f>SUM(MAX(G70,I70),MAX(G71,I71),MAX(G72,I72),MAX(G73,I73),MAX(G74,I74),MAX(G75,I75),MAX(G76,I76),MAX(G77,I77),MAX(G78,I78),MAX(G79,I79),MAX(G80,I80),MAX(G81,I81))</f>
        <v>0</v>
      </c>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row>
    <row r="71">
      <c r="A71" s="62"/>
      <c r="B71" s="99"/>
      <c r="C71" s="100">
        <v>1.0</v>
      </c>
      <c r="D71" s="66" t="s">
        <v>105</v>
      </c>
      <c r="E71" s="101" t="s">
        <v>21</v>
      </c>
      <c r="F71" s="66" t="s">
        <v>17</v>
      </c>
      <c r="G71" s="67"/>
      <c r="H71" s="59"/>
      <c r="I71" s="67"/>
      <c r="J71" s="88"/>
      <c r="K71" s="64"/>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row>
    <row r="72">
      <c r="A72" s="62"/>
      <c r="B72" s="102"/>
      <c r="C72" s="103">
        <v>1.0</v>
      </c>
      <c r="D72" s="66" t="s">
        <v>106</v>
      </c>
      <c r="E72" s="101" t="s">
        <v>21</v>
      </c>
      <c r="F72" s="66" t="s">
        <v>17</v>
      </c>
      <c r="G72" s="67"/>
      <c r="H72" s="59"/>
      <c r="I72" s="67"/>
      <c r="J72" s="88"/>
      <c r="K72" s="64"/>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row>
    <row r="73">
      <c r="A73" s="62"/>
      <c r="B73" s="99"/>
      <c r="C73" s="100">
        <v>1.0</v>
      </c>
      <c r="D73" s="66" t="s">
        <v>107</v>
      </c>
      <c r="E73" s="101" t="s">
        <v>21</v>
      </c>
      <c r="F73" s="66" t="s">
        <v>17</v>
      </c>
      <c r="G73" s="67"/>
      <c r="H73" s="59"/>
      <c r="I73" s="67"/>
      <c r="J73" s="88"/>
      <c r="K73" s="64"/>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c r="A74" s="62"/>
      <c r="B74" s="99"/>
      <c r="C74" s="100">
        <v>1.0</v>
      </c>
      <c r="D74" s="66" t="s">
        <v>108</v>
      </c>
      <c r="E74" s="101" t="s">
        <v>21</v>
      </c>
      <c r="F74" s="66" t="s">
        <v>17</v>
      </c>
      <c r="G74" s="67"/>
      <c r="H74" s="59"/>
      <c r="I74" s="67"/>
      <c r="J74" s="88"/>
      <c r="K74" s="64"/>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row>
    <row r="75">
      <c r="A75" s="62"/>
      <c r="B75" s="99"/>
      <c r="C75" s="100">
        <v>1.0</v>
      </c>
      <c r="D75" s="66" t="s">
        <v>109</v>
      </c>
      <c r="E75" s="101" t="s">
        <v>21</v>
      </c>
      <c r="F75" s="66" t="s">
        <v>17</v>
      </c>
      <c r="G75" s="67"/>
      <c r="H75" s="59"/>
      <c r="I75" s="67"/>
      <c r="J75" s="88"/>
      <c r="K75" s="64"/>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row>
    <row r="76">
      <c r="A76" s="62"/>
      <c r="B76" s="99"/>
      <c r="C76" s="100">
        <v>1.0</v>
      </c>
      <c r="D76" s="66" t="s">
        <v>110</v>
      </c>
      <c r="E76" s="101" t="s">
        <v>21</v>
      </c>
      <c r="F76" s="66" t="s">
        <v>17</v>
      </c>
      <c r="G76" s="67"/>
      <c r="H76" s="59"/>
      <c r="I76" s="67"/>
      <c r="J76" s="88"/>
      <c r="K76" s="64"/>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row>
    <row r="77">
      <c r="A77" s="62"/>
      <c r="B77" s="99"/>
      <c r="C77" s="100">
        <v>1.0</v>
      </c>
      <c r="D77" s="66" t="s">
        <v>111</v>
      </c>
      <c r="E77" s="101" t="s">
        <v>21</v>
      </c>
      <c r="F77" s="66" t="s">
        <v>17</v>
      </c>
      <c r="G77" s="67"/>
      <c r="H77" s="59"/>
      <c r="I77" s="67"/>
      <c r="J77" s="88"/>
      <c r="K77" s="64"/>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c r="A78" s="62"/>
      <c r="B78" s="99"/>
      <c r="C78" s="100">
        <v>1.0</v>
      </c>
      <c r="D78" s="66" t="s">
        <v>112</v>
      </c>
      <c r="E78" s="101" t="s">
        <v>21</v>
      </c>
      <c r="F78" s="66" t="s">
        <v>17</v>
      </c>
      <c r="G78" s="67"/>
      <c r="H78" s="59"/>
      <c r="I78" s="67"/>
      <c r="J78" s="88"/>
      <c r="K78" s="64"/>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row>
    <row r="79">
      <c r="A79" s="62"/>
      <c r="B79" s="102"/>
      <c r="C79" s="103">
        <v>1.0</v>
      </c>
      <c r="D79" s="66" t="s">
        <v>113</v>
      </c>
      <c r="E79" s="101" t="s">
        <v>21</v>
      </c>
      <c r="F79" s="66" t="s">
        <v>17</v>
      </c>
      <c r="G79" s="67"/>
      <c r="H79" s="59"/>
      <c r="I79" s="67"/>
      <c r="J79" s="88"/>
      <c r="K79" s="64"/>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row>
    <row r="80">
      <c r="A80" s="62"/>
      <c r="B80" s="99"/>
      <c r="C80" s="100">
        <v>3.0</v>
      </c>
      <c r="D80" s="66" t="s">
        <v>114</v>
      </c>
      <c r="E80" s="101" t="s">
        <v>21</v>
      </c>
      <c r="F80" s="66" t="s">
        <v>17</v>
      </c>
      <c r="G80" s="67"/>
      <c r="H80" s="59"/>
      <c r="I80" s="67"/>
      <c r="J80" s="88"/>
      <c r="K80" s="64"/>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row>
    <row r="81">
      <c r="A81" s="62"/>
      <c r="B81" s="104"/>
      <c r="C81" s="105">
        <v>2.0</v>
      </c>
      <c r="D81" s="89" t="s">
        <v>115</v>
      </c>
      <c r="E81" s="106" t="s">
        <v>21</v>
      </c>
      <c r="F81" s="76" t="s">
        <v>23</v>
      </c>
      <c r="G81" s="67"/>
      <c r="H81" s="59"/>
      <c r="I81" s="67"/>
      <c r="J81" s="88"/>
      <c r="K81" s="64"/>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row>
    <row r="82">
      <c r="A82" s="68"/>
      <c r="B82" s="92" t="s">
        <v>44</v>
      </c>
      <c r="C82" s="93">
        <f>SUM(C70:C81)</f>
        <v>16</v>
      </c>
      <c r="D82" s="94"/>
      <c r="E82" s="94"/>
      <c r="F82" s="94"/>
      <c r="G82" s="95"/>
      <c r="H82" s="11"/>
      <c r="I82" s="11"/>
      <c r="J82" s="11"/>
      <c r="K82" s="9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row>
    <row r="83">
      <c r="A83" s="54">
        <v>9.0</v>
      </c>
      <c r="B83" s="98"/>
      <c r="C83" s="91">
        <v>1.0</v>
      </c>
      <c r="D83" s="107" t="s">
        <v>116</v>
      </c>
      <c r="E83" s="80" t="s">
        <v>21</v>
      </c>
      <c r="F83" s="66" t="s">
        <v>17</v>
      </c>
      <c r="G83" s="67"/>
      <c r="H83" s="29"/>
      <c r="I83" s="67"/>
      <c r="J83" s="88"/>
      <c r="K83" s="87">
        <f>SUM(MAX(G83,I83),MAX(G84,I84),MAX(G85,I85),MAX(G86,I86),MAX(G87,I87),MAX(G88,I88),MAX(G89,I89))</f>
        <v>0</v>
      </c>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row>
    <row r="84">
      <c r="A84" s="62"/>
      <c r="B84" s="99"/>
      <c r="C84" s="100">
        <v>1.0</v>
      </c>
      <c r="D84" s="108" t="s">
        <v>117</v>
      </c>
      <c r="E84" s="101" t="s">
        <v>21</v>
      </c>
      <c r="F84" s="66" t="s">
        <v>17</v>
      </c>
      <c r="G84" s="67"/>
      <c r="H84" s="59"/>
      <c r="I84" s="67"/>
      <c r="J84" s="88"/>
      <c r="K84" s="64"/>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row>
    <row r="85">
      <c r="A85" s="62"/>
      <c r="B85" s="102"/>
      <c r="C85" s="103">
        <v>1.0</v>
      </c>
      <c r="D85" s="101" t="s">
        <v>118</v>
      </c>
      <c r="E85" s="101" t="s">
        <v>21</v>
      </c>
      <c r="F85" s="66" t="s">
        <v>17</v>
      </c>
      <c r="G85" s="67"/>
      <c r="H85" s="59"/>
      <c r="I85" s="67"/>
      <c r="J85" s="88"/>
      <c r="K85" s="64"/>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row>
    <row r="86">
      <c r="A86" s="62"/>
      <c r="B86" s="99"/>
      <c r="C86" s="100">
        <v>1.0</v>
      </c>
      <c r="D86" s="109" t="s">
        <v>119</v>
      </c>
      <c r="E86" s="101" t="s">
        <v>21</v>
      </c>
      <c r="F86" s="66" t="s">
        <v>17</v>
      </c>
      <c r="G86" s="67"/>
      <c r="H86" s="59"/>
      <c r="I86" s="67"/>
      <c r="J86" s="88"/>
      <c r="K86" s="64"/>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row>
    <row r="87">
      <c r="A87" s="62"/>
      <c r="B87" s="99"/>
      <c r="C87" s="100">
        <v>1.0</v>
      </c>
      <c r="D87" s="108" t="s">
        <v>120</v>
      </c>
      <c r="E87" s="101" t="s">
        <v>21</v>
      </c>
      <c r="F87" s="66" t="s">
        <v>23</v>
      </c>
      <c r="G87" s="67"/>
      <c r="H87" s="59"/>
      <c r="I87" s="67"/>
      <c r="J87" s="88"/>
      <c r="K87" s="64"/>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c r="A88" s="62"/>
      <c r="B88" s="99"/>
      <c r="C88" s="100">
        <v>1.0</v>
      </c>
      <c r="D88" s="109" t="s">
        <v>121</v>
      </c>
      <c r="E88" s="101" t="s">
        <v>21</v>
      </c>
      <c r="F88" s="66" t="s">
        <v>23</v>
      </c>
      <c r="G88" s="67"/>
      <c r="H88" s="59"/>
      <c r="I88" s="67"/>
      <c r="J88" s="88"/>
      <c r="K88" s="64"/>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c r="A89" s="62"/>
      <c r="B89" s="99"/>
      <c r="C89" s="100">
        <v>1.0</v>
      </c>
      <c r="D89" s="101" t="s">
        <v>122</v>
      </c>
      <c r="E89" s="101" t="s">
        <v>21</v>
      </c>
      <c r="F89" s="66" t="s">
        <v>23</v>
      </c>
      <c r="G89" s="67"/>
      <c r="H89" s="59"/>
      <c r="I89" s="67"/>
      <c r="J89" s="88"/>
      <c r="K89" s="64"/>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c r="A90" s="68"/>
      <c r="B90" s="92" t="s">
        <v>44</v>
      </c>
      <c r="C90" s="93">
        <f>SUM(C83:C89)</f>
        <v>7</v>
      </c>
      <c r="D90" s="94"/>
      <c r="E90" s="94"/>
      <c r="F90" s="94"/>
      <c r="G90" s="95"/>
      <c r="H90" s="11"/>
      <c r="I90" s="11"/>
      <c r="J90" s="11"/>
      <c r="K90" s="9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c r="A91" s="54">
        <v>10.0</v>
      </c>
      <c r="B91" s="110"/>
      <c r="C91" s="100">
        <v>2.0</v>
      </c>
      <c r="D91" s="66" t="s">
        <v>123</v>
      </c>
      <c r="E91" s="111"/>
      <c r="F91" s="112"/>
      <c r="G91" s="67"/>
      <c r="H91" s="113"/>
      <c r="I91" s="67"/>
      <c r="J91" s="63"/>
      <c r="K91" s="114">
        <f>SUM(MAX(G91,I91),MAX(G92,I92),MAX(G93,I93),MAX(G94,I94),MAX(G95,I95))</f>
        <v>0</v>
      </c>
      <c r="L91" s="67"/>
      <c r="M91" s="113"/>
      <c r="N91" s="67"/>
      <c r="O91" s="63"/>
      <c r="P91" s="114">
        <f>SUM(MAX(L91,N91),MAX(L92,N92),MAX(L93,N93),MAX(L94,N94),MAX(L95,N95))</f>
        <v>0</v>
      </c>
      <c r="Q91" s="67"/>
      <c r="R91" s="113"/>
      <c r="S91" s="67"/>
      <c r="T91" s="63"/>
      <c r="U91" s="114">
        <f>SUM(MAX(Q91,S91),MAX(Q92,S92),MAX(Q93,S93),MAX(Q94,S94),MAX(Q95,S95))</f>
        <v>0</v>
      </c>
      <c r="V91" s="67"/>
      <c r="W91" s="113"/>
      <c r="X91" s="67"/>
      <c r="Y91" s="63"/>
      <c r="Z91" s="114">
        <f>SUM(MAX(V91,X91),MAX(V92,X92),MAX(V93,X93),MAX(V94,X94),MAX(V95,X95))</f>
        <v>0</v>
      </c>
      <c r="AA91" s="67"/>
      <c r="AB91" s="113"/>
      <c r="AC91" s="67"/>
      <c r="AD91" s="63"/>
      <c r="AE91" s="114">
        <f>SUM(MAX(AA91,AC91),MAX(AA92,AC92),MAX(AA93,AC93),MAX(AA94,AC94),MAX(AA95,AC95))</f>
        <v>0</v>
      </c>
      <c r="AF91" s="67"/>
      <c r="AG91" s="113"/>
      <c r="AH91" s="67"/>
      <c r="AI91" s="63"/>
      <c r="AJ91" s="114">
        <f>SUM(MAX(AF91,AH91),MAX(AF92,AH92),MAX(AF93,AH93),MAX(AF94,AH94),MAX(AF95,AH95))</f>
        <v>0</v>
      </c>
      <c r="AK91" s="67"/>
      <c r="AL91" s="113"/>
      <c r="AM91" s="67"/>
      <c r="AN91" s="63"/>
      <c r="AO91" s="114">
        <f>SUM(MAX(AK91,AM91),MAX(AK92,AM92),MAX(AK93,AM93),MAX(AK94,AM94),MAX(AK95,AM95))</f>
        <v>0</v>
      </c>
      <c r="AP91" s="67"/>
      <c r="AQ91" s="113"/>
      <c r="AR91" s="67"/>
      <c r="AS91" s="63"/>
      <c r="AT91" s="114">
        <f>SUM(MAX(AP91,AR91),MAX(AP92,AR92),MAX(AP93,AR93),MAX(AP94,AR94),MAX(AP95,AR95))</f>
        <v>0</v>
      </c>
      <c r="AU91" s="67"/>
      <c r="AV91" s="113"/>
      <c r="AW91" s="67"/>
      <c r="AX91" s="63"/>
      <c r="AY91" s="114">
        <f>SUM(MAX(AU91,AW91),MAX(AU92,AW92),MAX(AU93,AW93),MAX(AU94,AW94),MAX(AU95,AW95))</f>
        <v>0</v>
      </c>
      <c r="AZ91" s="67"/>
      <c r="BA91" s="113"/>
      <c r="BB91" s="67"/>
      <c r="BC91" s="63"/>
      <c r="BD91" s="114">
        <f>SUM(MAX(AZ91,BB91),MAX(AZ92,BB92),MAX(AZ93,BB93),MAX(AZ94,BB94),MAX(AZ95,BB95))</f>
        <v>0</v>
      </c>
    </row>
    <row r="92">
      <c r="A92" s="62"/>
      <c r="B92" s="115"/>
      <c r="C92" s="103">
        <v>0.0</v>
      </c>
      <c r="D92" s="66" t="s">
        <v>124</v>
      </c>
      <c r="E92" s="111"/>
      <c r="F92" s="112"/>
      <c r="G92" s="67"/>
      <c r="H92" s="113"/>
      <c r="I92" s="67"/>
      <c r="J92" s="63"/>
      <c r="K92" s="64"/>
      <c r="L92" s="67"/>
      <c r="M92" s="113"/>
      <c r="N92" s="67"/>
      <c r="O92" s="63"/>
      <c r="P92" s="64"/>
      <c r="Q92" s="67"/>
      <c r="R92" s="113"/>
      <c r="S92" s="67"/>
      <c r="T92" s="63"/>
      <c r="U92" s="64"/>
      <c r="V92" s="67"/>
      <c r="W92" s="113"/>
      <c r="X92" s="67"/>
      <c r="Y92" s="63"/>
      <c r="Z92" s="64"/>
      <c r="AA92" s="67"/>
      <c r="AB92" s="113"/>
      <c r="AC92" s="67"/>
      <c r="AD92" s="63"/>
      <c r="AE92" s="64"/>
      <c r="AF92" s="67"/>
      <c r="AG92" s="113"/>
      <c r="AH92" s="67"/>
      <c r="AI92" s="63"/>
      <c r="AJ92" s="64"/>
      <c r="AK92" s="67"/>
      <c r="AL92" s="113"/>
      <c r="AM92" s="67"/>
      <c r="AN92" s="63"/>
      <c r="AO92" s="64"/>
      <c r="AP92" s="67"/>
      <c r="AQ92" s="113"/>
      <c r="AR92" s="67"/>
      <c r="AS92" s="63"/>
      <c r="AT92" s="64"/>
      <c r="AU92" s="67"/>
      <c r="AV92" s="113"/>
      <c r="AW92" s="67"/>
      <c r="AX92" s="63"/>
      <c r="AY92" s="64"/>
      <c r="AZ92" s="67"/>
      <c r="BA92" s="113"/>
      <c r="BB92" s="67"/>
      <c r="BC92" s="63"/>
      <c r="BD92" s="64"/>
    </row>
    <row r="93">
      <c r="A93" s="62"/>
      <c r="B93" s="115"/>
      <c r="C93" s="100">
        <v>1.0</v>
      </c>
      <c r="D93" s="66" t="s">
        <v>125</v>
      </c>
      <c r="E93" s="111"/>
      <c r="F93" s="112"/>
      <c r="G93" s="67"/>
      <c r="H93" s="113"/>
      <c r="I93" s="67"/>
      <c r="J93" s="63"/>
      <c r="K93" s="64"/>
      <c r="L93" s="67"/>
      <c r="M93" s="113"/>
      <c r="N93" s="67"/>
      <c r="O93" s="63"/>
      <c r="P93" s="64"/>
      <c r="Q93" s="67"/>
      <c r="R93" s="113"/>
      <c r="S93" s="67"/>
      <c r="T93" s="63"/>
      <c r="U93" s="64"/>
      <c r="V93" s="67"/>
      <c r="W93" s="113"/>
      <c r="X93" s="67"/>
      <c r="Y93" s="63"/>
      <c r="Z93" s="64"/>
      <c r="AA93" s="67"/>
      <c r="AB93" s="113"/>
      <c r="AC93" s="67"/>
      <c r="AD93" s="63"/>
      <c r="AE93" s="64"/>
      <c r="AF93" s="67"/>
      <c r="AG93" s="113"/>
      <c r="AH93" s="67"/>
      <c r="AI93" s="63"/>
      <c r="AJ93" s="64"/>
      <c r="AK93" s="67"/>
      <c r="AL93" s="113"/>
      <c r="AM93" s="67"/>
      <c r="AN93" s="63"/>
      <c r="AO93" s="64"/>
      <c r="AP93" s="67"/>
      <c r="AQ93" s="113"/>
      <c r="AR93" s="67"/>
      <c r="AS93" s="63"/>
      <c r="AT93" s="64"/>
      <c r="AU93" s="67"/>
      <c r="AV93" s="113"/>
      <c r="AW93" s="67"/>
      <c r="AX93" s="63"/>
      <c r="AY93" s="64"/>
      <c r="AZ93" s="67"/>
      <c r="BA93" s="113"/>
      <c r="BB93" s="67"/>
      <c r="BC93" s="63"/>
      <c r="BD93" s="64"/>
    </row>
    <row r="94">
      <c r="A94" s="62"/>
      <c r="B94" s="115"/>
      <c r="C94" s="100">
        <v>1.0</v>
      </c>
      <c r="D94" s="66" t="s">
        <v>126</v>
      </c>
      <c r="E94" s="111"/>
      <c r="F94" s="112"/>
      <c r="G94" s="67"/>
      <c r="H94" s="113"/>
      <c r="I94" s="67"/>
      <c r="J94" s="63"/>
      <c r="K94" s="64"/>
      <c r="L94" s="67"/>
      <c r="M94" s="113"/>
      <c r="N94" s="67"/>
      <c r="O94" s="63"/>
      <c r="P94" s="64"/>
      <c r="Q94" s="67"/>
      <c r="R94" s="113"/>
      <c r="S94" s="67"/>
      <c r="T94" s="63"/>
      <c r="U94" s="64"/>
      <c r="V94" s="67"/>
      <c r="W94" s="113"/>
      <c r="X94" s="67"/>
      <c r="Y94" s="63"/>
      <c r="Z94" s="64"/>
      <c r="AA94" s="67"/>
      <c r="AB94" s="113"/>
      <c r="AC94" s="67"/>
      <c r="AD94" s="63"/>
      <c r="AE94" s="64"/>
      <c r="AF94" s="67"/>
      <c r="AG94" s="113"/>
      <c r="AH94" s="67"/>
      <c r="AI94" s="63"/>
      <c r="AJ94" s="64"/>
      <c r="AK94" s="67"/>
      <c r="AL94" s="113"/>
      <c r="AM94" s="67"/>
      <c r="AN94" s="63"/>
      <c r="AO94" s="64"/>
      <c r="AP94" s="67"/>
      <c r="AQ94" s="113"/>
      <c r="AR94" s="67"/>
      <c r="AS94" s="63"/>
      <c r="AT94" s="64"/>
      <c r="AU94" s="67"/>
      <c r="AV94" s="113"/>
      <c r="AW94" s="67"/>
      <c r="AX94" s="63"/>
      <c r="AY94" s="64"/>
      <c r="AZ94" s="67"/>
      <c r="BA94" s="113"/>
      <c r="BB94" s="67"/>
      <c r="BC94" s="63"/>
      <c r="BD94" s="64"/>
    </row>
    <row r="95">
      <c r="A95" s="62"/>
      <c r="B95" s="116"/>
      <c r="C95" s="100">
        <v>1.0</v>
      </c>
      <c r="D95" s="66" t="s">
        <v>127</v>
      </c>
      <c r="E95" s="111"/>
      <c r="F95" s="112"/>
      <c r="G95" s="67"/>
      <c r="H95" s="117"/>
      <c r="I95" s="67"/>
      <c r="J95" s="63"/>
      <c r="K95" s="64"/>
      <c r="L95" s="67"/>
      <c r="M95" s="117"/>
      <c r="N95" s="67"/>
      <c r="O95" s="63"/>
      <c r="P95" s="64"/>
      <c r="Q95" s="67"/>
      <c r="R95" s="117"/>
      <c r="S95" s="67"/>
      <c r="T95" s="63"/>
      <c r="U95" s="64"/>
      <c r="V95" s="67"/>
      <c r="W95" s="117"/>
      <c r="X95" s="67"/>
      <c r="Y95" s="63"/>
      <c r="Z95" s="64"/>
      <c r="AA95" s="67"/>
      <c r="AB95" s="117"/>
      <c r="AC95" s="67"/>
      <c r="AD95" s="63"/>
      <c r="AE95" s="64"/>
      <c r="AF95" s="67"/>
      <c r="AG95" s="117"/>
      <c r="AH95" s="67"/>
      <c r="AI95" s="63"/>
      <c r="AJ95" s="64"/>
      <c r="AK95" s="67"/>
      <c r="AL95" s="117"/>
      <c r="AM95" s="67"/>
      <c r="AN95" s="63"/>
      <c r="AO95" s="64"/>
      <c r="AP95" s="67"/>
      <c r="AQ95" s="117"/>
      <c r="AR95" s="67"/>
      <c r="AS95" s="63"/>
      <c r="AT95" s="64"/>
      <c r="AU95" s="67"/>
      <c r="AV95" s="117"/>
      <c r="AW95" s="67"/>
      <c r="AX95" s="63"/>
      <c r="AY95" s="64"/>
      <c r="AZ95" s="67"/>
      <c r="BA95" s="117"/>
      <c r="BB95" s="67"/>
      <c r="BC95" s="63"/>
      <c r="BD95" s="64"/>
    </row>
    <row r="96">
      <c r="A96" s="68"/>
      <c r="B96" s="92" t="s">
        <v>44</v>
      </c>
      <c r="C96" s="118">
        <v>5.0</v>
      </c>
      <c r="D96" s="119"/>
      <c r="E96" s="94"/>
      <c r="F96" s="94"/>
      <c r="G96" s="120"/>
      <c r="H96" s="120"/>
      <c r="I96" s="121"/>
      <c r="J96" s="121"/>
      <c r="K96" s="122"/>
      <c r="L96" s="120"/>
      <c r="M96" s="120"/>
      <c r="N96" s="121"/>
      <c r="O96" s="121"/>
      <c r="P96" s="122"/>
      <c r="Q96" s="120"/>
      <c r="R96" s="120"/>
      <c r="S96" s="121"/>
      <c r="T96" s="121"/>
      <c r="U96" s="122"/>
      <c r="V96" s="120"/>
      <c r="W96" s="120"/>
      <c r="X96" s="121"/>
      <c r="Y96" s="121"/>
      <c r="Z96" s="122"/>
      <c r="AA96" s="120"/>
      <c r="AB96" s="120"/>
      <c r="AC96" s="121"/>
      <c r="AD96" s="121"/>
      <c r="AE96" s="122"/>
      <c r="AF96" s="120"/>
      <c r="AG96" s="120"/>
      <c r="AH96" s="121"/>
      <c r="AI96" s="121"/>
      <c r="AJ96" s="122"/>
      <c r="AK96" s="120"/>
      <c r="AL96" s="120"/>
      <c r="AM96" s="121"/>
      <c r="AN96" s="121"/>
      <c r="AO96" s="122"/>
      <c r="AP96" s="120"/>
      <c r="AQ96" s="120"/>
      <c r="AR96" s="121"/>
      <c r="AS96" s="121"/>
      <c r="AT96" s="122"/>
      <c r="AU96" s="120"/>
      <c r="AV96" s="120"/>
      <c r="AW96" s="121"/>
      <c r="AX96" s="121"/>
      <c r="AY96" s="122"/>
      <c r="AZ96" s="120"/>
      <c r="BA96" s="120"/>
      <c r="BB96" s="121"/>
      <c r="BC96" s="121"/>
      <c r="BD96" s="122"/>
    </row>
    <row r="97">
      <c r="A97" s="54">
        <v>11.0</v>
      </c>
      <c r="B97" s="110"/>
      <c r="C97" s="103">
        <v>1.0</v>
      </c>
      <c r="D97" s="66" t="s">
        <v>128</v>
      </c>
      <c r="E97" s="123"/>
      <c r="F97" s="112"/>
      <c r="G97" s="67"/>
      <c r="H97" s="117"/>
      <c r="I97" s="67"/>
      <c r="J97" s="63"/>
      <c r="K97" s="114">
        <f>SUM(MAX(G97,I97),MAX(G98,I98),MAX(G99,I99),MAX(G100,I100))</f>
        <v>0</v>
      </c>
      <c r="L97" s="67"/>
      <c r="M97" s="117"/>
      <c r="N97" s="67"/>
      <c r="O97" s="63"/>
      <c r="P97" s="114">
        <f>SUM(MAX(L97,N97),MAX(L98,N98),MAX(L99,N99),MAX(L100,N100))</f>
        <v>0</v>
      </c>
      <c r="Q97" s="67"/>
      <c r="R97" s="117"/>
      <c r="S97" s="67"/>
      <c r="T97" s="63"/>
      <c r="U97" s="114">
        <f>SUM(MAX(Q97,S97),MAX(Q98,S98),MAX(Q99,S99),MAX(Q100,S100))</f>
        <v>0</v>
      </c>
      <c r="V97" s="67"/>
      <c r="W97" s="117"/>
      <c r="X97" s="67"/>
      <c r="Y97" s="63"/>
      <c r="Z97" s="114">
        <f>SUM(MAX(V97,X97),MAX(V98,X98),MAX(V99,X99),MAX(V100,X100))</f>
        <v>0</v>
      </c>
      <c r="AA97" s="67"/>
      <c r="AB97" s="117"/>
      <c r="AC97" s="67"/>
      <c r="AD97" s="63"/>
      <c r="AE97" s="114">
        <f>SUM(MAX(AA97,AC97),MAX(AA98,AC98),MAX(AA99,AC99),MAX(AA100,AC100))</f>
        <v>0</v>
      </c>
      <c r="AF97" s="67"/>
      <c r="AG97" s="117"/>
      <c r="AH97" s="67"/>
      <c r="AI97" s="63"/>
      <c r="AJ97" s="114">
        <f>SUM(MAX(AF97,AH97),MAX(AF98,AH98),MAX(AF99,AH99),MAX(AF100,AH100))</f>
        <v>0</v>
      </c>
      <c r="AK97" s="67"/>
      <c r="AL97" s="117"/>
      <c r="AM97" s="67"/>
      <c r="AN97" s="63"/>
      <c r="AO97" s="114">
        <f>SUM(MAX(AK97,AM97),MAX(AK98,AM98),MAX(AK99,AM99),MAX(AK100,AM100))</f>
        <v>0</v>
      </c>
      <c r="AP97" s="67"/>
      <c r="AQ97" s="117"/>
      <c r="AR97" s="67"/>
      <c r="AS97" s="63"/>
      <c r="AT97" s="114">
        <f>SUM(MAX(AP97,AR97),MAX(AP98,AR98),MAX(AP99,AR99),MAX(AP100,AR100))</f>
        <v>0</v>
      </c>
      <c r="AU97" s="67"/>
      <c r="AV97" s="117"/>
      <c r="AW97" s="67"/>
      <c r="AX97" s="63"/>
      <c r="AY97" s="114">
        <f>SUM(MAX(AU97,AW97),MAX(AU98,AW98),MAX(AU99,AW99),MAX(AU100,AW100))</f>
        <v>0</v>
      </c>
      <c r="AZ97" s="67"/>
      <c r="BA97" s="117"/>
      <c r="BB97" s="67"/>
      <c r="BC97" s="63"/>
      <c r="BD97" s="114">
        <f>SUM(MAX(AZ97,BB97),MAX(AZ98,BB98),MAX(AZ99,BB99),MAX(AZ100,BB100))</f>
        <v>0</v>
      </c>
    </row>
    <row r="98">
      <c r="A98" s="62"/>
      <c r="B98" s="115"/>
      <c r="C98" s="100">
        <v>1.0</v>
      </c>
      <c r="D98" s="66" t="s">
        <v>129</v>
      </c>
      <c r="E98" s="111"/>
      <c r="F98" s="112"/>
      <c r="G98" s="67"/>
      <c r="H98" s="117"/>
      <c r="I98" s="67"/>
      <c r="J98" s="63"/>
      <c r="K98" s="64"/>
      <c r="L98" s="67"/>
      <c r="M98" s="117"/>
      <c r="N98" s="67"/>
      <c r="O98" s="63"/>
      <c r="P98" s="64"/>
      <c r="Q98" s="67"/>
      <c r="R98" s="117"/>
      <c r="S98" s="67"/>
      <c r="T98" s="63"/>
      <c r="U98" s="64"/>
      <c r="V98" s="67"/>
      <c r="W98" s="117"/>
      <c r="X98" s="67"/>
      <c r="Y98" s="63"/>
      <c r="Z98" s="64"/>
      <c r="AA98" s="67"/>
      <c r="AB98" s="117"/>
      <c r="AC98" s="67"/>
      <c r="AD98" s="63"/>
      <c r="AE98" s="64"/>
      <c r="AF98" s="67"/>
      <c r="AG98" s="117"/>
      <c r="AH98" s="67"/>
      <c r="AI98" s="63"/>
      <c r="AJ98" s="64"/>
      <c r="AK98" s="67"/>
      <c r="AL98" s="117"/>
      <c r="AM98" s="67"/>
      <c r="AN98" s="63"/>
      <c r="AO98" s="64"/>
      <c r="AP98" s="67"/>
      <c r="AQ98" s="117"/>
      <c r="AR98" s="67"/>
      <c r="AS98" s="63"/>
      <c r="AT98" s="64"/>
      <c r="AU98" s="67"/>
      <c r="AV98" s="117"/>
      <c r="AW98" s="67"/>
      <c r="AX98" s="63"/>
      <c r="AY98" s="64"/>
      <c r="AZ98" s="67"/>
      <c r="BA98" s="117"/>
      <c r="BB98" s="67"/>
      <c r="BC98" s="63"/>
      <c r="BD98" s="64"/>
    </row>
    <row r="99">
      <c r="A99" s="62"/>
      <c r="B99" s="115"/>
      <c r="C99" s="100">
        <v>1.0</v>
      </c>
      <c r="D99" s="66" t="s">
        <v>130</v>
      </c>
      <c r="E99" s="66" t="s">
        <v>131</v>
      </c>
      <c r="F99" s="112"/>
      <c r="G99" s="67"/>
      <c r="H99" s="117"/>
      <c r="I99" s="67"/>
      <c r="J99" s="63"/>
      <c r="K99" s="64"/>
      <c r="L99" s="67"/>
      <c r="M99" s="117"/>
      <c r="N99" s="67"/>
      <c r="O99" s="63"/>
      <c r="P99" s="64"/>
      <c r="Q99" s="67"/>
      <c r="R99" s="117"/>
      <c r="S99" s="67"/>
      <c r="T99" s="63"/>
      <c r="U99" s="64"/>
      <c r="V99" s="67"/>
      <c r="W99" s="117"/>
      <c r="X99" s="67"/>
      <c r="Y99" s="63"/>
      <c r="Z99" s="64"/>
      <c r="AA99" s="67"/>
      <c r="AB99" s="117"/>
      <c r="AC99" s="67"/>
      <c r="AD99" s="63"/>
      <c r="AE99" s="64"/>
      <c r="AF99" s="67"/>
      <c r="AG99" s="117"/>
      <c r="AH99" s="67"/>
      <c r="AI99" s="63"/>
      <c r="AJ99" s="64"/>
      <c r="AK99" s="67"/>
      <c r="AL99" s="117"/>
      <c r="AM99" s="67"/>
      <c r="AN99" s="63"/>
      <c r="AO99" s="64"/>
      <c r="AP99" s="67"/>
      <c r="AQ99" s="117"/>
      <c r="AR99" s="67"/>
      <c r="AS99" s="63"/>
      <c r="AT99" s="64"/>
      <c r="AU99" s="67"/>
      <c r="AV99" s="117"/>
      <c r="AW99" s="67"/>
      <c r="AX99" s="63"/>
      <c r="AY99" s="64"/>
      <c r="AZ99" s="67"/>
      <c r="BA99" s="117"/>
      <c r="BB99" s="67"/>
      <c r="BC99" s="63"/>
      <c r="BD99" s="64"/>
    </row>
    <row r="100">
      <c r="A100" s="62"/>
      <c r="B100" s="116"/>
      <c r="C100" s="100">
        <v>2.0</v>
      </c>
      <c r="D100" s="66" t="s">
        <v>132</v>
      </c>
      <c r="E100" s="124"/>
      <c r="F100" s="112"/>
      <c r="G100" s="67"/>
      <c r="H100" s="117"/>
      <c r="I100" s="67"/>
      <c r="J100" s="63"/>
      <c r="K100" s="64"/>
      <c r="L100" s="67"/>
      <c r="M100" s="117"/>
      <c r="N100" s="67"/>
      <c r="O100" s="63"/>
      <c r="P100" s="64"/>
      <c r="Q100" s="67"/>
      <c r="R100" s="117"/>
      <c r="S100" s="67"/>
      <c r="T100" s="63"/>
      <c r="U100" s="64"/>
      <c r="V100" s="67"/>
      <c r="W100" s="117"/>
      <c r="X100" s="67"/>
      <c r="Y100" s="63"/>
      <c r="Z100" s="64"/>
      <c r="AA100" s="67"/>
      <c r="AB100" s="117"/>
      <c r="AC100" s="67"/>
      <c r="AD100" s="63"/>
      <c r="AE100" s="64"/>
      <c r="AF100" s="67"/>
      <c r="AG100" s="117"/>
      <c r="AH100" s="67"/>
      <c r="AI100" s="63"/>
      <c r="AJ100" s="64"/>
      <c r="AK100" s="67"/>
      <c r="AL100" s="117"/>
      <c r="AM100" s="67"/>
      <c r="AN100" s="63"/>
      <c r="AO100" s="64"/>
      <c r="AP100" s="67"/>
      <c r="AQ100" s="117"/>
      <c r="AR100" s="67"/>
      <c r="AS100" s="63"/>
      <c r="AT100" s="64"/>
      <c r="AU100" s="67"/>
      <c r="AV100" s="117"/>
      <c r="AW100" s="67"/>
      <c r="AX100" s="63"/>
      <c r="AY100" s="64"/>
      <c r="AZ100" s="67"/>
      <c r="BA100" s="117"/>
      <c r="BB100" s="67"/>
      <c r="BC100" s="63"/>
      <c r="BD100" s="64"/>
    </row>
    <row r="101">
      <c r="A101" s="68"/>
      <c r="B101" s="92" t="s">
        <v>44</v>
      </c>
      <c r="C101" s="118">
        <f>SUM(C97:C100)</f>
        <v>5</v>
      </c>
      <c r="D101" s="119"/>
      <c r="E101" s="94"/>
      <c r="F101" s="94"/>
      <c r="G101" s="120"/>
      <c r="H101" s="120"/>
      <c r="I101" s="121"/>
      <c r="J101" s="121"/>
      <c r="K101" s="122"/>
      <c r="L101" s="120"/>
      <c r="M101" s="120"/>
      <c r="N101" s="121"/>
      <c r="O101" s="121"/>
      <c r="P101" s="122"/>
      <c r="Q101" s="120"/>
      <c r="R101" s="120"/>
      <c r="S101" s="121"/>
      <c r="T101" s="121"/>
      <c r="U101" s="122"/>
      <c r="V101" s="120"/>
      <c r="W101" s="120"/>
      <c r="X101" s="121"/>
      <c r="Y101" s="121"/>
      <c r="Z101" s="122"/>
      <c r="AA101" s="120"/>
      <c r="AB101" s="120"/>
      <c r="AC101" s="121"/>
      <c r="AD101" s="121"/>
      <c r="AE101" s="122"/>
      <c r="AF101" s="120"/>
      <c r="AG101" s="120"/>
      <c r="AH101" s="121"/>
      <c r="AI101" s="121"/>
      <c r="AJ101" s="122"/>
      <c r="AK101" s="120"/>
      <c r="AL101" s="120"/>
      <c r="AM101" s="121"/>
      <c r="AN101" s="121"/>
      <c r="AO101" s="122"/>
      <c r="AP101" s="120"/>
      <c r="AQ101" s="120"/>
      <c r="AR101" s="121"/>
      <c r="AS101" s="121"/>
      <c r="AT101" s="122"/>
      <c r="AU101" s="120"/>
      <c r="AV101" s="120"/>
      <c r="AW101" s="121"/>
      <c r="AX101" s="121"/>
      <c r="AY101" s="122"/>
      <c r="AZ101" s="120"/>
      <c r="BA101" s="120"/>
      <c r="BB101" s="121"/>
      <c r="BC101" s="121"/>
      <c r="BD101" s="122"/>
    </row>
    <row r="102">
      <c r="A102" s="54">
        <v>12.0</v>
      </c>
      <c r="B102" s="110"/>
      <c r="C102" s="100">
        <v>1.0</v>
      </c>
      <c r="D102" s="66" t="s">
        <v>133</v>
      </c>
      <c r="E102" s="123"/>
      <c r="F102" s="112"/>
      <c r="G102" s="67"/>
      <c r="H102" s="117"/>
      <c r="I102" s="67"/>
      <c r="J102" s="63"/>
      <c r="K102" s="114">
        <f>SUM(MAX(G102,I102),MAX(G103,I103))</f>
        <v>0</v>
      </c>
      <c r="L102" s="67"/>
      <c r="M102" s="117"/>
      <c r="N102" s="67"/>
      <c r="O102" s="63"/>
      <c r="P102" s="114">
        <f>SUM(MAX(L102,N102),MAX(L103,N103))</f>
        <v>0</v>
      </c>
      <c r="Q102" s="67"/>
      <c r="R102" s="117"/>
      <c r="S102" s="67"/>
      <c r="T102" s="63"/>
      <c r="U102" s="114">
        <f>SUM(MAX(Q102,S102),MAX(Q103,S103))</f>
        <v>0</v>
      </c>
      <c r="V102" s="67"/>
      <c r="W102" s="117"/>
      <c r="X102" s="67"/>
      <c r="Y102" s="63"/>
      <c r="Z102" s="114">
        <f>SUM(MAX(V102,X102),MAX(V103,X103))</f>
        <v>0</v>
      </c>
      <c r="AA102" s="67"/>
      <c r="AB102" s="117"/>
      <c r="AC102" s="67"/>
      <c r="AD102" s="63"/>
      <c r="AE102" s="114">
        <f>SUM(MAX(AA102,AC102),MAX(AA103,AC103))</f>
        <v>0</v>
      </c>
      <c r="AF102" s="67"/>
      <c r="AG102" s="117"/>
      <c r="AH102" s="67"/>
      <c r="AI102" s="63"/>
      <c r="AJ102" s="114">
        <f>SUM(MAX(AF102,AH102),MAX(AF103,AH103))</f>
        <v>0</v>
      </c>
      <c r="AK102" s="67"/>
      <c r="AL102" s="117"/>
      <c r="AM102" s="67"/>
      <c r="AN102" s="63"/>
      <c r="AO102" s="114">
        <f>SUM(MAX(AK102,AM102),MAX(AK103,AM103))</f>
        <v>0</v>
      </c>
      <c r="AP102" s="67"/>
      <c r="AQ102" s="117"/>
      <c r="AR102" s="67"/>
      <c r="AS102" s="63"/>
      <c r="AT102" s="114">
        <f>SUM(MAX(AP102,AR102),MAX(AP103,AR103))</f>
        <v>0</v>
      </c>
      <c r="AU102" s="67"/>
      <c r="AV102" s="117"/>
      <c r="AW102" s="67"/>
      <c r="AX102" s="63"/>
      <c r="AY102" s="114">
        <f>SUM(MAX(AU102,AW102),MAX(AU103,AW103))</f>
        <v>0</v>
      </c>
      <c r="AZ102" s="67"/>
      <c r="BA102" s="117"/>
      <c r="BB102" s="67"/>
      <c r="BC102" s="63"/>
      <c r="BD102" s="114">
        <f>SUM(MAX(AZ102,BB102),MAX(AZ103,BB103))</f>
        <v>0</v>
      </c>
    </row>
    <row r="103">
      <c r="A103" s="62"/>
      <c r="B103" s="116"/>
      <c r="C103" s="100">
        <v>2.0</v>
      </c>
      <c r="D103" s="66" t="s">
        <v>134</v>
      </c>
      <c r="E103" s="89" t="s">
        <v>135</v>
      </c>
      <c r="F103" s="112"/>
      <c r="G103" s="67"/>
      <c r="H103" s="117"/>
      <c r="I103" s="67"/>
      <c r="J103" s="63"/>
      <c r="K103" s="64"/>
      <c r="L103" s="67"/>
      <c r="M103" s="117"/>
      <c r="N103" s="67"/>
      <c r="O103" s="63"/>
      <c r="P103" s="64"/>
      <c r="Q103" s="67"/>
      <c r="R103" s="117"/>
      <c r="S103" s="67"/>
      <c r="T103" s="63"/>
      <c r="U103" s="64"/>
      <c r="V103" s="67"/>
      <c r="W103" s="117"/>
      <c r="X103" s="67"/>
      <c r="Y103" s="63"/>
      <c r="Z103" s="64"/>
      <c r="AA103" s="67"/>
      <c r="AB103" s="117"/>
      <c r="AC103" s="67"/>
      <c r="AD103" s="63"/>
      <c r="AE103" s="64"/>
      <c r="AF103" s="67"/>
      <c r="AG103" s="117"/>
      <c r="AH103" s="67"/>
      <c r="AI103" s="63"/>
      <c r="AJ103" s="64"/>
      <c r="AK103" s="67"/>
      <c r="AL103" s="117"/>
      <c r="AM103" s="67"/>
      <c r="AN103" s="63"/>
      <c r="AO103" s="64"/>
      <c r="AP103" s="67"/>
      <c r="AQ103" s="117"/>
      <c r="AR103" s="67"/>
      <c r="AS103" s="63"/>
      <c r="AT103" s="64"/>
      <c r="AU103" s="67"/>
      <c r="AV103" s="117"/>
      <c r="AW103" s="67"/>
      <c r="AX103" s="63"/>
      <c r="AY103" s="64"/>
      <c r="AZ103" s="67"/>
      <c r="BA103" s="117"/>
      <c r="BB103" s="67"/>
      <c r="BC103" s="63"/>
      <c r="BD103" s="64"/>
    </row>
    <row r="104">
      <c r="A104" s="68"/>
      <c r="B104" s="92" t="s">
        <v>44</v>
      </c>
      <c r="C104" s="118">
        <v>3.0</v>
      </c>
      <c r="D104" s="94"/>
      <c r="E104" s="94"/>
      <c r="F104" s="94"/>
      <c r="G104" s="120"/>
      <c r="H104" s="120"/>
      <c r="I104" s="121"/>
      <c r="J104" s="121"/>
      <c r="K104" s="122"/>
      <c r="L104" s="120"/>
      <c r="M104" s="120"/>
      <c r="N104" s="121"/>
      <c r="O104" s="121"/>
      <c r="P104" s="122"/>
      <c r="Q104" s="120"/>
      <c r="R104" s="120"/>
      <c r="S104" s="121"/>
      <c r="T104" s="121"/>
      <c r="U104" s="122"/>
      <c r="V104" s="120"/>
      <c r="W104" s="120"/>
      <c r="X104" s="121"/>
      <c r="Y104" s="121"/>
      <c r="Z104" s="122"/>
      <c r="AA104" s="120"/>
      <c r="AB104" s="120"/>
      <c r="AC104" s="121"/>
      <c r="AD104" s="121"/>
      <c r="AE104" s="122"/>
      <c r="AF104" s="120"/>
      <c r="AG104" s="120"/>
      <c r="AH104" s="121"/>
      <c r="AI104" s="121"/>
      <c r="AJ104" s="122"/>
      <c r="AK104" s="120"/>
      <c r="AL104" s="120"/>
      <c r="AM104" s="121"/>
      <c r="AN104" s="121"/>
      <c r="AO104" s="122"/>
      <c r="AP104" s="120"/>
      <c r="AQ104" s="120"/>
      <c r="AR104" s="121"/>
      <c r="AS104" s="121"/>
      <c r="AT104" s="122"/>
      <c r="AU104" s="120"/>
      <c r="AV104" s="120"/>
      <c r="AW104" s="121"/>
      <c r="AX104" s="121"/>
      <c r="AY104" s="122"/>
      <c r="AZ104" s="120"/>
      <c r="BA104" s="120"/>
      <c r="BB104" s="121"/>
      <c r="BC104" s="121"/>
      <c r="BD104" s="122"/>
    </row>
    <row r="105">
      <c r="A105" s="6"/>
      <c r="B105" s="125"/>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row>
    <row r="106">
      <c r="A106" s="6"/>
      <c r="B106" s="14" t="s">
        <v>136</v>
      </c>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row>
  </sheetData>
  <mergeCells count="103">
    <mergeCell ref="B5:B8"/>
    <mergeCell ref="B14:B16"/>
    <mergeCell ref="A20:A35"/>
    <mergeCell ref="B20:B24"/>
    <mergeCell ref="B25:B28"/>
    <mergeCell ref="B29:B32"/>
    <mergeCell ref="A36:A47"/>
    <mergeCell ref="A54:A61"/>
    <mergeCell ref="A62:A69"/>
    <mergeCell ref="A70:A82"/>
    <mergeCell ref="A83:A90"/>
    <mergeCell ref="A91:A96"/>
    <mergeCell ref="A97:A101"/>
    <mergeCell ref="A102:A104"/>
    <mergeCell ref="B62:B65"/>
    <mergeCell ref="C62:C65"/>
    <mergeCell ref="B66:B68"/>
    <mergeCell ref="C66:C68"/>
    <mergeCell ref="A48:A53"/>
    <mergeCell ref="B48:B52"/>
    <mergeCell ref="C48:C52"/>
    <mergeCell ref="B54:B58"/>
    <mergeCell ref="C54:C58"/>
    <mergeCell ref="B59:B60"/>
    <mergeCell ref="C59:C60"/>
    <mergeCell ref="B9:B13"/>
    <mergeCell ref="C9:C13"/>
    <mergeCell ref="B17:B18"/>
    <mergeCell ref="C17:C18"/>
    <mergeCell ref="C20:C24"/>
    <mergeCell ref="C25:C28"/>
    <mergeCell ref="C29:C32"/>
    <mergeCell ref="C33:C34"/>
    <mergeCell ref="D35:F35"/>
    <mergeCell ref="H17:H18"/>
    <mergeCell ref="D19:F19"/>
    <mergeCell ref="G2:K2"/>
    <mergeCell ref="G3:K3"/>
    <mergeCell ref="A5:A19"/>
    <mergeCell ref="C5:C8"/>
    <mergeCell ref="H5:H8"/>
    <mergeCell ref="K5:K18"/>
    <mergeCell ref="C14:C16"/>
    <mergeCell ref="G19:K19"/>
    <mergeCell ref="B33:B34"/>
    <mergeCell ref="B36:B45"/>
    <mergeCell ref="C36:C45"/>
    <mergeCell ref="D47:F47"/>
    <mergeCell ref="D53:F53"/>
    <mergeCell ref="K48:K52"/>
    <mergeCell ref="K54:K60"/>
    <mergeCell ref="H59:H60"/>
    <mergeCell ref="G61:K61"/>
    <mergeCell ref="H33:H34"/>
    <mergeCell ref="H36:H45"/>
    <mergeCell ref="K36:K46"/>
    <mergeCell ref="G47:K47"/>
    <mergeCell ref="H48:H52"/>
    <mergeCell ref="G53:K53"/>
    <mergeCell ref="H54:H58"/>
    <mergeCell ref="K62:K68"/>
    <mergeCell ref="G69:K69"/>
    <mergeCell ref="K70:K81"/>
    <mergeCell ref="G82:K82"/>
    <mergeCell ref="K83:K89"/>
    <mergeCell ref="G90:K90"/>
    <mergeCell ref="K91:K95"/>
    <mergeCell ref="H9:H13"/>
    <mergeCell ref="H14:H16"/>
    <mergeCell ref="H20:H24"/>
    <mergeCell ref="K20:K34"/>
    <mergeCell ref="H25:H28"/>
    <mergeCell ref="H29:H32"/>
    <mergeCell ref="G35:K35"/>
    <mergeCell ref="AY91:AY95"/>
    <mergeCell ref="BD91:BD95"/>
    <mergeCell ref="AY97:AY100"/>
    <mergeCell ref="BD97:BD100"/>
    <mergeCell ref="AY102:AY103"/>
    <mergeCell ref="BD102:BD103"/>
    <mergeCell ref="U91:U95"/>
    <mergeCell ref="U97:U100"/>
    <mergeCell ref="U102:U103"/>
    <mergeCell ref="Z102:Z103"/>
    <mergeCell ref="AE91:AE95"/>
    <mergeCell ref="AE97:AE100"/>
    <mergeCell ref="AE102:AE103"/>
    <mergeCell ref="AJ102:AJ103"/>
    <mergeCell ref="AO91:AO95"/>
    <mergeCell ref="AO97:AO100"/>
    <mergeCell ref="AO102:AO103"/>
    <mergeCell ref="AT102:AT103"/>
    <mergeCell ref="P91:P95"/>
    <mergeCell ref="Z91:Z95"/>
    <mergeCell ref="AJ91:AJ95"/>
    <mergeCell ref="AT91:AT95"/>
    <mergeCell ref="P97:P100"/>
    <mergeCell ref="Z97:Z100"/>
    <mergeCell ref="AJ97:AJ100"/>
    <mergeCell ref="AT97:AT100"/>
    <mergeCell ref="K97:K100"/>
    <mergeCell ref="K102:K103"/>
    <mergeCell ref="P102:P103"/>
  </mergeCells>
  <dataValidations>
    <dataValidation type="list" allowBlank="1" showErrorMessage="1" sqref="F5:F18 F20:F34 F36:F46 F48:F52 F54:F60 F62:F68 F70:F81 F83:F89">
      <formula1>"критикал,не критикал"</formula1>
    </dataValidation>
    <dataValidation type="list" allowBlank="1" showErrorMessage="1" sqref="G46 I46 G70 I70 G81 I81 I83">
      <formula1>"0,2"</formula1>
    </dataValidation>
    <dataValidation type="list" allowBlank="1" showErrorMessage="1" sqref="G92 I92 L92 N92 Q92 S92 V92 X92 AA92 AC92 AF92 AH92 AK92 AM92 AP92 AR92 AU92 AW92 AZ92 BB92">
      <formula1>"0"</formula1>
    </dataValidation>
    <dataValidation type="list" allowBlank="1" showErrorMessage="1" sqref="G80 I80">
      <formula1>"0,3"</formula1>
    </dataValidation>
    <dataValidation type="list" allowBlank="1" showErrorMessage="1" sqref="G14:G15 I14:I15 G59:G60 I59:I60 G63 I63 G91 I91 L91 N91 Q91 S91 V91 X91 AA91 AC91 AF91 AH91 AK91 AM91 AP91 AR91 AU91 AW91 AZ91 BB91 G100 I100 L100 N100 Q100 S100 V100 X100 AA100 AC100 AF100 AH100 AK100 AM100 AP100 AR100 AU100 AW100 AZ100 BB100 G103 I103 L103 N103 Q103 S103 V103 X103 AA103 AC103 AF103 AH103 AK103 AM103 AP103 AR103 AU103 AW103 AZ103 BB103">
      <formula1>"0,1,2"</formula1>
    </dataValidation>
    <dataValidation type="list" allowBlank="1" showErrorMessage="1" sqref="G5:G13 I5:I13 G16:G18 I16:I18 G20:G34 I20:I34 G36:G45 I36:I45 G48:G52 I48:I52 G54:G58 I54:I58 G62 I62 G64:G68 I64:I68 G71:G79 I71:I79 G83:G89 I84:I89 G93:G95 I93:I95 L93:L95 N93:N95 Q93:Q95 S93:S95 V93:V95 X93:X95 AA93:AA95 AC93:AC95 AF93:AF95 AH93:AH95 AK93:AK95 AM93:AM95 AP93:AP95 AR93:AR95 AU93:AU95 AW93:AW95 AZ93:AZ95 BB93:BB95 G97:G99 I97:I99 L97:L99 N97:N99 Q97:Q99 S97:S99 V97:V99 X97:X99 AA97:AA99 AC97:AC99 AF97:AF99 AH97:AH99 AK97:AK99 AM97:AM99 AP97:AP99 AR97:AR99 AU97:AU99 AW97:AW99 AZ97:AZ99 BB97:BB99 G102 I102 L102 N102 Q102 S102 V102 X102 AA102 AC102 AF102 AH102 AK102 AM102 AP102 AR102 AU102 AW102 AZ102 BB102">
      <formula1>"0,1"</formula1>
    </dataValidation>
    <dataValidation type="list" allowBlank="1" showErrorMessage="1" sqref="J5:J18 J20:J34 J36:J46 J48:J52 J54:J60 J62:J68 J70:J81 J83:J89 J91:J95 O91:O95 T91:T95 Y91:Y95 AD91:AD95 AI91:AI95 AN91:AN95 AS91:AS95 AX91:AX95 BC91:BC95 J97:J100 O97:O100 T97:T100 Y97:Y100 AD97:AD100 AI97:AI100 AN97:AN100 AS97:AS100 AX97:AX100 BC97:BC100 J102:J103 O102:O103 T102:T103 Y102:Y103 AD102:AD103 AI102:AI103 AN102:AN103 AS102:AS103 AX102:AX103 BC102:BC103">
      <formula1>"отлично,есть нюансы, но можно идти дальше,нельзя идти дальше, надо исправлять"</formula1>
    </dataValidation>
  </dataValidations>
  <drawing r:id="rId1"/>
</worksheet>
</file>